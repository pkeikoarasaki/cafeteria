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PROJEÇÃO 12M" sheetId="2" state="visible" r:id="rId2"/>
    <sheet name="PONTO DE EQUILÍBRIO" sheetId="3" state="visible" r:id="rId3"/>
    <sheet name="MARGEM UNITÁ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%"/>
    <numFmt numFmtId="166" formatCode="R$ #,##0"/>
    <numFmt numFmtId="167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C8973A"/>
      <sz val="13"/>
    </font>
    <font>
      <name val="Calibri"/>
      <i val="1"/>
      <color rgb="00FFF8F0"/>
      <sz val="10"/>
    </font>
    <font>
      <name val="Calibri"/>
      <b val="1"/>
      <color rgb="00FFFFFF"/>
      <sz val="10"/>
    </font>
    <font>
      <name val="Calibri"/>
      <b val="1"/>
      <color rgb="003E1C00"/>
      <sz val="10"/>
    </font>
    <font>
      <name val="Calibri"/>
      <color rgb="00000000"/>
      <sz val="10"/>
    </font>
    <font>
      <name val="Calibri"/>
      <i val="1"/>
      <color rgb="009E9E9E"/>
      <sz val="9"/>
    </font>
    <font>
      <name val="Calibri"/>
      <b val="1"/>
      <color rgb="00C8973A"/>
      <sz val="10"/>
    </font>
    <font>
      <name val="Calibri"/>
      <b val="1"/>
      <color rgb="00000000"/>
      <sz val="10"/>
    </font>
    <font>
      <name val="Calibri"/>
      <i val="1"/>
      <color rgb="00FFF8F0"/>
      <sz val="9"/>
    </font>
    <font>
      <name val="Calibri"/>
      <b val="1"/>
      <color rgb="003E1C00"/>
      <sz val="11"/>
    </font>
    <font>
      <name val="Calibri"/>
      <b val="1"/>
      <color rgb="001B5E20"/>
      <sz val="14"/>
    </font>
    <font>
      <name val="Calibri"/>
      <b val="1"/>
      <color rgb="00C8973A"/>
      <sz val="12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b val="1"/>
      <color rgb="00FFEBEE"/>
      <sz val="10"/>
    </font>
    <font>
      <name val="Calibri"/>
      <b val="1"/>
      <color rgb="001B5E20"/>
      <sz val="10"/>
    </font>
    <font>
      <name val="Calibri"/>
      <b val="1"/>
      <color rgb="000D47A1"/>
      <sz val="10"/>
    </font>
  </fonts>
  <fills count="15">
    <fill>
      <patternFill/>
    </fill>
    <fill>
      <patternFill patternType="gray125"/>
    </fill>
    <fill>
      <patternFill patternType="solid">
        <fgColor rgb="003E1C00"/>
      </patternFill>
    </fill>
    <fill>
      <patternFill patternType="solid">
        <fgColor rgb="007B3F00"/>
      </patternFill>
    </fill>
    <fill>
      <patternFill patternType="solid">
        <fgColor rgb="00C8973A"/>
      </patternFill>
    </fill>
    <fill>
      <patternFill patternType="solid">
        <fgColor rgb="00FFF8F0"/>
      </patternFill>
    </fill>
    <fill>
      <patternFill patternType="solid">
        <fgColor rgb="00FFFF9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0F4F8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6" fillId="7" borderId="1" pivotButton="0" quotePrefix="0" xfId="0"/>
    <xf numFmtId="165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0" fontId="8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3" fontId="7" fillId="2" borderId="1" applyAlignment="1" pivotButton="0" quotePrefix="0" xfId="0">
      <alignment horizontal="center" vertical="center"/>
    </xf>
    <xf numFmtId="0" fontId="5" fillId="5" borderId="1" pivotButton="0" quotePrefix="0" xfId="0"/>
    <xf numFmtId="9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3" fontId="13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3" fontId="13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3" fontId="13" fillId="12" borderId="1" applyAlignment="1" pivotButton="0" quotePrefix="0" xfId="0">
      <alignment horizontal="center" vertical="center"/>
    </xf>
    <xf numFmtId="3" fontId="8" fillId="12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166" fontId="16" fillId="9" borderId="1" applyAlignment="1" pivotButton="0" quotePrefix="0" xfId="0">
      <alignment horizontal="center" vertical="center"/>
    </xf>
    <xf numFmtId="166" fontId="17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0" fontId="13" fillId="7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166" fontId="16" fillId="13" borderId="1" applyAlignment="1" pivotButton="0" quotePrefix="0" xfId="0">
      <alignment horizontal="center" vertical="center"/>
    </xf>
    <xf numFmtId="166" fontId="18" fillId="9" borderId="1" applyAlignment="1" pivotButton="0" quotePrefix="0" xfId="0">
      <alignment horizontal="center" vertical="center"/>
    </xf>
    <xf numFmtId="166" fontId="19" fillId="9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166" fontId="16" fillId="1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1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1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B1" s="1" t="inlineStr">
        <is>
          <t>TIRAMIWAFER — PAINEL DE PREMISSAS (inputs editáveis)</t>
        </is>
      </c>
    </row>
    <row r="2">
      <c r="B2" s="2" t="inlineStr">
        <is>
          <t>Kopenhagen | Altere os valores amarelos para recalcular toda a planilha</t>
        </is>
      </c>
    </row>
    <row r="4">
      <c r="B4" s="3" t="inlineStr">
        <is>
          <t>1. PRODUTO E PREÇOS</t>
        </is>
      </c>
      <c r="C4" s="4" t="n"/>
      <c r="D4" s="5" t="n"/>
    </row>
    <row r="5">
      <c r="B5" s="6" t="inlineStr">
        <is>
          <t>Parâmetro</t>
        </is>
      </c>
      <c r="C5" s="6" t="inlineStr">
        <is>
          <t>Valor (editável)</t>
        </is>
      </c>
      <c r="D5" s="6" t="inlineStr">
        <is>
          <t>Fórmula / Cálculo</t>
        </is>
      </c>
    </row>
    <row r="6">
      <c r="B6" s="7" t="inlineStr">
        <is>
          <t>Preço de Venda (R$)</t>
        </is>
      </c>
      <c r="C6" s="8" t="n">
        <v>24.9</v>
      </c>
      <c r="D6" s="9" t="inlineStr">
        <is>
          <t>← EDITE AQUI</t>
        </is>
      </c>
    </row>
    <row r="7">
      <c r="B7" s="7" t="inlineStr">
        <is>
          <t>Alíquota Simples Nacional</t>
        </is>
      </c>
      <c r="C7" s="10" t="n">
        <v>0.107</v>
      </c>
      <c r="D7" s="9" t="inlineStr">
        <is>
          <t>← EDITE AQUI</t>
        </is>
      </c>
    </row>
    <row r="8">
      <c r="B8" s="7" t="inlineStr">
        <is>
          <t>COGS — Insumos (R$/un)</t>
        </is>
      </c>
      <c r="C8" s="8" t="n">
        <v>7.47</v>
      </c>
      <c r="D8" s="9" t="inlineStr">
        <is>
          <t>← EDITE AQUI</t>
        </is>
      </c>
    </row>
    <row r="9">
      <c r="B9" s="7" t="inlineStr">
        <is>
          <t>ICMS ST (R$/un)</t>
        </is>
      </c>
      <c r="C9" s="8" t="n">
        <v>0.16</v>
      </c>
      <c r="D9" s="9" t="inlineStr">
        <is>
          <t>← EDITE AQUI</t>
        </is>
      </c>
    </row>
    <row r="10">
      <c r="B10" s="11" t="inlineStr">
        <is>
          <t>Calculado automaticamente (não edite)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>
      <c r="B11" s="7" t="inlineStr">
        <is>
          <t>Impostos (R$/un)</t>
        </is>
      </c>
      <c r="C11" s="12">
        <f>C6*C7</f>
        <v/>
      </c>
    </row>
    <row r="12">
      <c r="B12" s="13" t="inlineStr">
        <is>
          <t>Receita Líquida (R$/un)</t>
        </is>
      </c>
      <c r="C12" s="14">
        <f>C6*(1-C7)</f>
        <v/>
      </c>
    </row>
    <row r="13">
      <c r="B13" s="7" t="inlineStr">
        <is>
          <t>COGS Total (R$/un)</t>
        </is>
      </c>
      <c r="C13" s="12">
        <f>C8+C9</f>
        <v/>
      </c>
    </row>
    <row r="14">
      <c r="B14" s="15" t="inlineStr">
        <is>
          <t>Margem de Contribuição</t>
        </is>
      </c>
      <c r="C14" s="16">
        <f>C6*(1-C7)-C8-C9</f>
        <v/>
      </c>
    </row>
    <row r="15">
      <c r="B15" s="17" t="inlineStr">
        <is>
          <t>CMC % (vs Receita Bruta)</t>
        </is>
      </c>
      <c r="C15" s="18">
        <f>(C6*(1-C7)-C8-C9)/C6</f>
        <v/>
      </c>
    </row>
    <row r="16">
      <c r="B16" s="19" t="inlineStr">
        <is>
          <t>CMC % (vs Rec. Líquida)</t>
        </is>
      </c>
      <c r="C16" s="20">
        <f>(C6*(1-C7)-C8-C9)/(C6*(1-C7))</f>
        <v/>
      </c>
    </row>
    <row r="17">
      <c r="B17" s="7" t="inlineStr">
        <is>
          <t>Target Mínimo Kopenhagen</t>
        </is>
      </c>
      <c r="C17" s="21" t="n">
        <v>0.48</v>
      </c>
    </row>
    <row r="18">
      <c r="B18" s="13" t="inlineStr">
        <is>
          <t>Folga vs Target</t>
        </is>
      </c>
      <c r="C18" s="22">
        <f>(C6*(1-C7)-C8-C9)/C6-0.48</f>
        <v/>
      </c>
    </row>
    <row r="20">
      <c r="B20" s="3" t="inlineStr">
        <is>
          <t>2. SEGMENTAÇÃO DE LOJAS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5" t="n"/>
    </row>
    <row r="21">
      <c r="B21" s="6" t="inlineStr">
        <is>
          <t>Segmento</t>
        </is>
      </c>
      <c r="C21" s="6" t="inlineStr">
        <is>
          <t>Nº Lojas</t>
        </is>
      </c>
      <c r="D21" s="6" t="inlineStr">
        <is>
          <t>Cupons/dia</t>
        </is>
      </c>
      <c r="E21" s="6" t="inlineStr">
        <is>
          <t>TM Médio (R$)</t>
        </is>
      </c>
      <c r="F21" s="6" t="inlineStr">
        <is>
          <t>Penet. Pessimista</t>
        </is>
      </c>
      <c r="G21" s="6" t="inlineStr">
        <is>
          <t>Penet. Realista</t>
        </is>
      </c>
      <c r="H21" s="6" t="inlineStr">
        <is>
          <t>Penet. Otimista</t>
        </is>
      </c>
    </row>
    <row r="22">
      <c r="B22" s="23" t="inlineStr">
        <is>
          <t>Alta Performance</t>
        </is>
      </c>
      <c r="C22" s="24" t="n">
        <v>7</v>
      </c>
      <c r="D22" s="24" t="n">
        <v>44</v>
      </c>
      <c r="E22" s="25" t="n">
        <v>35.81</v>
      </c>
      <c r="F22" s="10" t="n">
        <v>0.03</v>
      </c>
      <c r="G22" s="10" t="n">
        <v>0.05</v>
      </c>
      <c r="H22" s="10" t="n">
        <v>0.08</v>
      </c>
    </row>
    <row r="23">
      <c r="B23" s="26" t="inlineStr">
        <is>
          <t>Média Performance</t>
        </is>
      </c>
      <c r="C23" s="24" t="n">
        <v>306</v>
      </c>
      <c r="D23" s="24" t="n">
        <v>177</v>
      </c>
      <c r="E23" s="27" t="n">
        <v>25.38</v>
      </c>
      <c r="F23" s="10" t="n">
        <v>0.02</v>
      </c>
      <c r="G23" s="10" t="n">
        <v>0.035</v>
      </c>
      <c r="H23" s="10" t="n">
        <v>0.055</v>
      </c>
    </row>
    <row r="24">
      <c r="B24" s="28" t="inlineStr">
        <is>
          <t>Baixa Performance</t>
        </is>
      </c>
      <c r="C24" s="24" t="n">
        <v>487</v>
      </c>
      <c r="D24" s="24" t="n">
        <v>123</v>
      </c>
      <c r="E24" s="29" t="n">
        <v>22.97</v>
      </c>
      <c r="F24" s="10" t="n">
        <v>0.015</v>
      </c>
      <c r="G24" s="10" t="n">
        <v>0.025</v>
      </c>
      <c r="H24" s="10" t="n">
        <v>0.04</v>
      </c>
    </row>
    <row r="25">
      <c r="B25" s="30" t="inlineStr">
        <is>
          <t>TOTAL REDE</t>
        </is>
      </c>
      <c r="C25" s="31">
        <f>C22+C23+C24</f>
        <v/>
      </c>
      <c r="D25" s="11" t="inlineStr">
        <is>
          <t>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—</t>
        </is>
      </c>
    </row>
    <row r="27">
      <c r="B27" s="3" t="inlineStr">
        <is>
          <t>3. RAMP-UP MENSAL (% do volume maduro — editável)</t>
        </is>
      </c>
    </row>
    <row r="28">
      <c r="C28" s="6" t="inlineStr">
        <is>
          <t>Jan</t>
        </is>
      </c>
      <c r="D28" s="6" t="inlineStr">
        <is>
          <t>Fev</t>
        </is>
      </c>
      <c r="E28" s="6" t="inlineStr">
        <is>
          <t>Mar</t>
        </is>
      </c>
      <c r="F28" s="6" t="inlineStr">
        <is>
          <t>Abr</t>
        </is>
      </c>
      <c r="G28" s="6" t="inlineStr">
        <is>
          <t>Mai</t>
        </is>
      </c>
      <c r="H28" s="6" t="inlineStr">
        <is>
          <t>Jun</t>
        </is>
      </c>
      <c r="I28" s="6" t="inlineStr">
        <is>
          <t>Jul</t>
        </is>
      </c>
      <c r="J28" s="6" t="inlineStr">
        <is>
          <t>Ago</t>
        </is>
      </c>
      <c r="K28" s="6" t="inlineStr">
        <is>
          <t>Set</t>
        </is>
      </c>
      <c r="L28" s="6" t="inlineStr">
        <is>
          <t>Out</t>
        </is>
      </c>
      <c r="M28" s="6" t="inlineStr">
        <is>
          <t>Nov</t>
        </is>
      </c>
      <c r="N28" s="6" t="inlineStr">
        <is>
          <t>Dez</t>
        </is>
      </c>
    </row>
    <row r="29">
      <c r="B29" s="32" t="inlineStr">
        <is>
          <t>Fator de Ramp-up</t>
        </is>
      </c>
      <c r="C29" s="33" t="n">
        <v>0.25</v>
      </c>
      <c r="D29" s="33" t="n">
        <v>0.45</v>
      </c>
      <c r="E29" s="33" t="n">
        <v>0.65</v>
      </c>
      <c r="F29" s="33" t="n">
        <v>0.8</v>
      </c>
      <c r="G29" s="33" t="n">
        <v>0.92</v>
      </c>
      <c r="H29" s="33" t="n">
        <v>1</v>
      </c>
      <c r="I29" s="33" t="n">
        <v>1</v>
      </c>
      <c r="J29" s="33" t="n">
        <v>1</v>
      </c>
      <c r="K29" s="33" t="n">
        <v>1</v>
      </c>
      <c r="L29" s="33" t="n">
        <v>1</v>
      </c>
      <c r="M29" s="33" t="n">
        <v>1</v>
      </c>
      <c r="N29" s="33" t="n">
        <v>1</v>
      </c>
    </row>
    <row r="31">
      <c r="B31" s="3" t="inlineStr">
        <is>
          <t>4. INVESTIMENTO DE LANÇAMENTO</t>
        </is>
      </c>
    </row>
    <row r="32">
      <c r="B32" s="6" t="inlineStr">
        <is>
          <t>Item</t>
        </is>
      </c>
      <c r="C32" s="6" t="inlineStr">
        <is>
          <t>Valor (R$)</t>
        </is>
      </c>
      <c r="D32" s="6" t="inlineStr">
        <is>
          <t>Tipo</t>
        </is>
      </c>
    </row>
    <row r="33">
      <c r="B33" s="7" t="inlineStr">
        <is>
          <t>POS Materials (R$80 × 800 lojas)</t>
        </is>
      </c>
      <c r="C33" s="34" t="n">
        <v>64000</v>
      </c>
      <c r="D33" s="7" t="inlineStr">
        <is>
          <t>One-time</t>
        </is>
      </c>
    </row>
    <row r="34">
      <c r="B34" s="13" t="inlineStr">
        <is>
          <t>Campanha Digital</t>
        </is>
      </c>
      <c r="C34" s="34" t="n">
        <v>200000</v>
      </c>
      <c r="D34" s="13" t="inlineStr">
        <is>
          <t>One-time</t>
        </is>
      </c>
    </row>
    <row r="35">
      <c r="B35" s="7" t="inlineStr">
        <is>
          <t>Sampling Abertura</t>
        </is>
      </c>
      <c r="C35" s="34" t="n">
        <v>16000</v>
      </c>
      <c r="D35" s="7" t="inlineStr">
        <is>
          <t>One-time</t>
        </is>
      </c>
    </row>
    <row r="36">
      <c r="B36" s="13" t="inlineStr">
        <is>
          <t>Produção Conteúdo (foto/vídeo)</t>
        </is>
      </c>
      <c r="C36" s="34" t="n">
        <v>80000</v>
      </c>
      <c r="D36" s="13" t="inlineStr">
        <is>
          <t>One-time</t>
        </is>
      </c>
    </row>
    <row r="37">
      <c r="B37" s="7" t="inlineStr">
        <is>
          <t>PR / Imprensa</t>
        </is>
      </c>
      <c r="C37" s="34" t="n">
        <v>30000</v>
      </c>
      <c r="D37" s="7" t="inlineStr">
        <is>
          <t>One-time</t>
        </is>
      </c>
    </row>
    <row r="38">
      <c r="B38" s="13" t="inlineStr">
        <is>
          <t>Materiais Treinamento</t>
        </is>
      </c>
      <c r="C38" s="34" t="n">
        <v>8000</v>
      </c>
      <c r="D38" s="13" t="inlineStr">
        <is>
          <t>One-time</t>
        </is>
      </c>
    </row>
    <row r="39">
      <c r="B39" s="7" t="inlineStr">
        <is>
          <t>Contingência</t>
        </is>
      </c>
      <c r="C39" s="34" t="n">
        <v>52000</v>
      </c>
      <c r="D39" s="7" t="inlineStr">
        <is>
          <t>One-time</t>
        </is>
      </c>
    </row>
    <row r="40">
      <c r="B40" s="13" t="inlineStr">
        <is>
          <t>Marketing Recorrente (por mês)</t>
        </is>
      </c>
      <c r="C40" s="34" t="n">
        <v>50000</v>
      </c>
      <c r="D40" s="13" t="inlineStr">
        <is>
          <t>Recorrente/mês</t>
        </is>
      </c>
    </row>
    <row r="41">
      <c r="B41" s="30" t="inlineStr">
        <is>
          <t>TOTAL LANÇAMENTO (one-time)</t>
        </is>
      </c>
      <c r="C41" s="35">
        <f>C33+C34+C35+C36+C37+C38+C39</f>
        <v/>
      </c>
      <c r="D41" s="11" t="inlineStr">
        <is>
          <t>—</t>
        </is>
      </c>
    </row>
  </sheetData>
  <mergeCells count="9">
    <mergeCell ref="B10:D10"/>
    <mergeCell ref="B27:N27"/>
    <mergeCell ref="B31:D31"/>
    <mergeCell ref="B1:D1"/>
    <mergeCell ref="B4:D4"/>
    <mergeCell ref="B20:V20"/>
    <mergeCell ref="B10:L10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L6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</cols>
  <sheetData>
    <row r="1">
      <c r="B1" s="1" t="inlineStr">
        <is>
          <t>TIRAMIWAFER — PROJEÇÃO DE VENDAS 12 MESES | FÓRMULAS EDITÁVEIS</t>
        </is>
      </c>
    </row>
    <row r="2">
      <c r="B2" s="36" t="inlineStr">
        <is>
          <t>Todos os valores calculados via fórmulas que referenciam a aba PREMISSAS — altere lá para recalcular tudo</t>
        </is>
      </c>
    </row>
    <row r="4">
      <c r="B4" s="37" t="inlineStr">
        <is>
          <t>CENÁRIO ATIVO:</t>
        </is>
      </c>
      <c r="D4" s="38" t="inlineStr">
        <is>
          <t>R</t>
        </is>
      </c>
      <c r="E4" s="39" t="inlineStr">
        <is>
          <t>← Digite: P (pessimista) | R (realista) | O (otimista)</t>
        </is>
      </c>
    </row>
    <row r="6">
      <c r="B6" s="40" t="inlineStr">
        <is>
          <t>══ CENÁRIO PESSIMISTA ══  (P)</t>
        </is>
      </c>
    </row>
    <row r="7">
      <c r="B7" s="3" t="inlineStr">
        <is>
          <t>VOLUME (unidades)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</row>
    <row r="8">
      <c r="B8" s="6" t="inlineStr">
        <is>
          <t>Segmento</t>
        </is>
      </c>
      <c r="C8" s="6" t="inlineStr">
        <is>
          <t>Jan</t>
        </is>
      </c>
      <c r="D8" s="6" t="inlineStr">
        <is>
          <t>Fev</t>
        </is>
      </c>
      <c r="E8" s="6" t="inlineStr">
        <is>
          <t>Mar</t>
        </is>
      </c>
      <c r="F8" s="6" t="inlineStr">
        <is>
          <t>Abr</t>
        </is>
      </c>
      <c r="G8" s="6" t="inlineStr">
        <is>
          <t>Mai</t>
        </is>
      </c>
      <c r="H8" s="6" t="inlineStr">
        <is>
          <t>Jun</t>
        </is>
      </c>
      <c r="I8" s="6" t="inlineStr">
        <is>
          <t>Jul</t>
        </is>
      </c>
      <c r="J8" s="6" t="inlineStr">
        <is>
          <t>Ago</t>
        </is>
      </c>
      <c r="K8" s="6" t="inlineStr">
        <is>
          <t>Set</t>
        </is>
      </c>
      <c r="L8" s="6" t="inlineStr">
        <is>
          <t>Out</t>
        </is>
      </c>
      <c r="M8" s="6" t="inlineStr">
        <is>
          <t>Nov</t>
        </is>
      </c>
      <c r="N8" s="6" t="inlineStr">
        <is>
          <t>Dez</t>
        </is>
      </c>
      <c r="O8" s="6" t="inlineStr">
        <is>
          <t>TOTAL ANO</t>
        </is>
      </c>
    </row>
    <row r="9">
      <c r="B9" s="23" t="inlineStr">
        <is>
          <t xml:space="preserve">  Alta (7 lojas)</t>
        </is>
      </c>
      <c r="C9" s="41">
        <f>ROUND(PREMISSAS!C22*PREMISSAS!D22*PREMISSAS!F22*26*PREMISSAS!C29,0)</f>
        <v/>
      </c>
      <c r="D9" s="41">
        <f>ROUND(PREMISSAS!C22*PREMISSAS!D22*PREMISSAS!F22*26*PREMISSAS!D29,0)</f>
        <v/>
      </c>
      <c r="E9" s="41">
        <f>ROUND(PREMISSAS!C22*PREMISSAS!D22*PREMISSAS!F22*26*PREMISSAS!E29,0)</f>
        <v/>
      </c>
      <c r="F9" s="41">
        <f>ROUND(PREMISSAS!C22*PREMISSAS!D22*PREMISSAS!F22*26*PREMISSAS!F29,0)</f>
        <v/>
      </c>
      <c r="G9" s="41">
        <f>ROUND(PREMISSAS!C22*PREMISSAS!D22*PREMISSAS!F22*26*PREMISSAS!G29,0)</f>
        <v/>
      </c>
      <c r="H9" s="41">
        <f>ROUND(PREMISSAS!C22*PREMISSAS!D22*PREMISSAS!F22*26*PREMISSAS!H29,0)</f>
        <v/>
      </c>
      <c r="I9" s="41">
        <f>ROUND(PREMISSAS!C22*PREMISSAS!D22*PREMISSAS!F22*26*PREMISSAS!I29,0)</f>
        <v/>
      </c>
      <c r="J9" s="41">
        <f>ROUND(PREMISSAS!C22*PREMISSAS!D22*PREMISSAS!F22*26*PREMISSAS!J29,0)</f>
        <v/>
      </c>
      <c r="K9" s="41">
        <f>ROUND(PREMISSAS!C22*PREMISSAS!D22*PREMISSAS!F22*26*PREMISSAS!K29,0)</f>
        <v/>
      </c>
      <c r="L9" s="41">
        <f>ROUND(PREMISSAS!C22*PREMISSAS!D22*PREMISSAS!F22*26*PREMISSAS!L29,0)</f>
        <v/>
      </c>
      <c r="M9" s="41">
        <f>ROUND(PREMISSAS!C22*PREMISSAS!D22*PREMISSAS!F22*26*PREMISSAS!M29,0)</f>
        <v/>
      </c>
      <c r="N9" s="41">
        <f>ROUND(PREMISSAS!C22*PREMISSAS!D22*PREMISSAS!F22*26*PREMISSAS!N29,0)</f>
        <v/>
      </c>
      <c r="O9" s="42">
        <f>SUM(C9:N9)</f>
        <v/>
      </c>
    </row>
    <row r="10">
      <c r="B10" s="26" t="inlineStr">
        <is>
          <t xml:space="preserve">  Média (306 lojas)</t>
        </is>
      </c>
      <c r="C10" s="43">
        <f>ROUND(PREMISSAS!C23*PREMISSAS!D23*PREMISSAS!F23*26*PREMISSAS!C29,0)</f>
        <v/>
      </c>
      <c r="D10" s="43">
        <f>ROUND(PREMISSAS!C23*PREMISSAS!D23*PREMISSAS!F23*26*PREMISSAS!D29,0)</f>
        <v/>
      </c>
      <c r="E10" s="43">
        <f>ROUND(PREMISSAS!C23*PREMISSAS!D23*PREMISSAS!F23*26*PREMISSAS!E29,0)</f>
        <v/>
      </c>
      <c r="F10" s="43">
        <f>ROUND(PREMISSAS!C23*PREMISSAS!D23*PREMISSAS!F23*26*PREMISSAS!F29,0)</f>
        <v/>
      </c>
      <c r="G10" s="43">
        <f>ROUND(PREMISSAS!C23*PREMISSAS!D23*PREMISSAS!F23*26*PREMISSAS!G29,0)</f>
        <v/>
      </c>
      <c r="H10" s="43">
        <f>ROUND(PREMISSAS!C23*PREMISSAS!D23*PREMISSAS!F23*26*PREMISSAS!H29,0)</f>
        <v/>
      </c>
      <c r="I10" s="43">
        <f>ROUND(PREMISSAS!C23*PREMISSAS!D23*PREMISSAS!F23*26*PREMISSAS!I29,0)</f>
        <v/>
      </c>
      <c r="J10" s="43">
        <f>ROUND(PREMISSAS!C23*PREMISSAS!D23*PREMISSAS!F23*26*PREMISSAS!J29,0)</f>
        <v/>
      </c>
      <c r="K10" s="43">
        <f>ROUND(PREMISSAS!C23*PREMISSAS!D23*PREMISSAS!F23*26*PREMISSAS!K29,0)</f>
        <v/>
      </c>
      <c r="L10" s="43">
        <f>ROUND(PREMISSAS!C23*PREMISSAS!D23*PREMISSAS!F23*26*PREMISSAS!L29,0)</f>
        <v/>
      </c>
      <c r="M10" s="43">
        <f>ROUND(PREMISSAS!C23*PREMISSAS!D23*PREMISSAS!F23*26*PREMISSAS!M29,0)</f>
        <v/>
      </c>
      <c r="N10" s="43">
        <f>ROUND(PREMISSAS!C23*PREMISSAS!D23*PREMISSAS!F23*26*PREMISSAS!N29,0)</f>
        <v/>
      </c>
      <c r="O10" s="44">
        <f>SUM(C10:N10)</f>
        <v/>
      </c>
    </row>
    <row r="11">
      <c r="B11" s="28" t="inlineStr">
        <is>
          <t xml:space="preserve">  Baixa (487 lojas)</t>
        </is>
      </c>
      <c r="C11" s="45">
        <f>ROUND(PREMISSAS!C24*PREMISSAS!D24*PREMISSAS!F24*26*PREMISSAS!C29,0)</f>
        <v/>
      </c>
      <c r="D11" s="45">
        <f>ROUND(PREMISSAS!C24*PREMISSAS!D24*PREMISSAS!F24*26*PREMISSAS!D29,0)</f>
        <v/>
      </c>
      <c r="E11" s="45">
        <f>ROUND(PREMISSAS!C24*PREMISSAS!D24*PREMISSAS!F24*26*PREMISSAS!E29,0)</f>
        <v/>
      </c>
      <c r="F11" s="45">
        <f>ROUND(PREMISSAS!C24*PREMISSAS!D24*PREMISSAS!F24*26*PREMISSAS!F29,0)</f>
        <v/>
      </c>
      <c r="G11" s="45">
        <f>ROUND(PREMISSAS!C24*PREMISSAS!D24*PREMISSAS!F24*26*PREMISSAS!G29,0)</f>
        <v/>
      </c>
      <c r="H11" s="45">
        <f>ROUND(PREMISSAS!C24*PREMISSAS!D24*PREMISSAS!F24*26*PREMISSAS!H29,0)</f>
        <v/>
      </c>
      <c r="I11" s="45">
        <f>ROUND(PREMISSAS!C24*PREMISSAS!D24*PREMISSAS!F24*26*PREMISSAS!I29,0)</f>
        <v/>
      </c>
      <c r="J11" s="45">
        <f>ROUND(PREMISSAS!C24*PREMISSAS!D24*PREMISSAS!F24*26*PREMISSAS!J29,0)</f>
        <v/>
      </c>
      <c r="K11" s="45">
        <f>ROUND(PREMISSAS!C24*PREMISSAS!D24*PREMISSAS!F24*26*PREMISSAS!K29,0)</f>
        <v/>
      </c>
      <c r="L11" s="45">
        <f>ROUND(PREMISSAS!C24*PREMISSAS!D24*PREMISSAS!F24*26*PREMISSAS!L29,0)</f>
        <v/>
      </c>
      <c r="M11" s="45">
        <f>ROUND(PREMISSAS!C24*PREMISSAS!D24*PREMISSAS!F24*26*PREMISSAS!M29,0)</f>
        <v/>
      </c>
      <c r="N11" s="45">
        <f>ROUND(PREMISSAS!C24*PREMISSAS!D24*PREMISSAS!F24*26*PREMISSAS!N29,0)</f>
        <v/>
      </c>
      <c r="O11" s="46">
        <f>SUM(C11:N11)</f>
        <v/>
      </c>
    </row>
    <row r="12">
      <c r="B12" s="30" t="inlineStr">
        <is>
          <t>TOTAL REDE (un)</t>
        </is>
      </c>
      <c r="C12" s="31">
        <f>C9+C10+C11</f>
        <v/>
      </c>
      <c r="D12" s="31">
        <f>D9+D10+D11</f>
        <v/>
      </c>
      <c r="E12" s="31">
        <f>E9+E10+E11</f>
        <v/>
      </c>
      <c r="F12" s="31">
        <f>F9+F10+F11</f>
        <v/>
      </c>
      <c r="G12" s="31">
        <f>G9+G10+G11</f>
        <v/>
      </c>
      <c r="H12" s="31">
        <f>H9+H10+H11</f>
        <v/>
      </c>
      <c r="I12" s="31">
        <f>I9+I10+I11</f>
        <v/>
      </c>
      <c r="J12" s="31">
        <f>J9+J10+J11</f>
        <v/>
      </c>
      <c r="K12" s="31">
        <f>K9+K10+K11</f>
        <v/>
      </c>
      <c r="L12" s="31">
        <f>L9+L10+L11</f>
        <v/>
      </c>
      <c r="M12" s="31">
        <f>M9+M10+M11</f>
        <v/>
      </c>
      <c r="N12" s="31">
        <f>N9+N10+N11</f>
        <v/>
      </c>
      <c r="O12" s="47">
        <f>SUM(C12:N12)</f>
        <v/>
      </c>
    </row>
    <row r="13">
      <c r="B13" s="39" t="inlineStr">
        <is>
          <t xml:space="preserve">   ↳ Un/loja/dia (média rede)</t>
        </is>
      </c>
      <c r="C13" s="48">
        <f>ROUND(C12/800/26,1)</f>
        <v/>
      </c>
      <c r="D13" s="48">
        <f>ROUND(D12/800/26,1)</f>
        <v/>
      </c>
      <c r="E13" s="48">
        <f>ROUND(E12/800/26,1)</f>
        <v/>
      </c>
      <c r="F13" s="48">
        <f>ROUND(F12/800/26,1)</f>
        <v/>
      </c>
      <c r="G13" s="48">
        <f>ROUND(G12/800/26,1)</f>
        <v/>
      </c>
      <c r="H13" s="48">
        <f>ROUND(H12/800/26,1)</f>
        <v/>
      </c>
      <c r="I13" s="48">
        <f>ROUND(I12/800/26,1)</f>
        <v/>
      </c>
      <c r="J13" s="48">
        <f>ROUND(J12/800/26,1)</f>
        <v/>
      </c>
      <c r="K13" s="48">
        <f>ROUND(K12/800/26,1)</f>
        <v/>
      </c>
      <c r="L13" s="48">
        <f>ROUND(L12/800/26,1)</f>
        <v/>
      </c>
      <c r="M13" s="48">
        <f>ROUND(M12/800/26,1)</f>
        <v/>
      </c>
      <c r="N13" s="48">
        <f>ROUND(N12/800/26,1)</f>
        <v/>
      </c>
      <c r="O13" s="49">
        <f>ROUND(O12/800/12/26,1)</f>
        <v/>
      </c>
    </row>
    <row r="14">
      <c r="B14" s="3" t="inlineStr">
        <is>
          <t>DRE — REDE COMPLETA (R$)</t>
        </is>
      </c>
    </row>
    <row r="15">
      <c r="B15" s="6" t="inlineStr">
        <is>
          <t>Linha DRE</t>
        </is>
      </c>
      <c r="C15" s="6" t="inlineStr">
        <is>
          <t>Jan</t>
        </is>
      </c>
      <c r="D15" s="6" t="inlineStr">
        <is>
          <t>Fev</t>
        </is>
      </c>
      <c r="E15" s="6" t="inlineStr">
        <is>
          <t>Mar</t>
        </is>
      </c>
      <c r="F15" s="6" t="inlineStr">
        <is>
          <t>Abr</t>
        </is>
      </c>
      <c r="G15" s="6" t="inlineStr">
        <is>
          <t>Mai</t>
        </is>
      </c>
      <c r="H15" s="6" t="inlineStr">
        <is>
          <t>Jun</t>
        </is>
      </c>
      <c r="I15" s="6" t="inlineStr">
        <is>
          <t>Jul</t>
        </is>
      </c>
      <c r="J15" s="6" t="inlineStr">
        <is>
          <t>Ago</t>
        </is>
      </c>
      <c r="K15" s="6" t="inlineStr">
        <is>
          <t>Set</t>
        </is>
      </c>
      <c r="L15" s="6" t="inlineStr">
        <is>
          <t>Out</t>
        </is>
      </c>
      <c r="M15" s="6" t="inlineStr">
        <is>
          <t>Nov</t>
        </is>
      </c>
      <c r="N15" s="6" t="inlineStr">
        <is>
          <t>Dez</t>
        </is>
      </c>
      <c r="O15" s="6" t="inlineStr">
        <is>
          <t>TOTAL ANO</t>
        </is>
      </c>
    </row>
    <row r="16">
      <c r="B16" s="7" t="inlineStr">
        <is>
          <t>Receita Bruta</t>
        </is>
      </c>
      <c r="C16" s="50">
        <f>C12*PREMISSAS!C6</f>
        <v/>
      </c>
      <c r="D16" s="50">
        <f>D12*PREMISSAS!C6</f>
        <v/>
      </c>
      <c r="E16" s="50">
        <f>E12*PREMISSAS!C6</f>
        <v/>
      </c>
      <c r="F16" s="50">
        <f>F12*PREMISSAS!C6</f>
        <v/>
      </c>
      <c r="G16" s="50">
        <f>G12*PREMISSAS!C6</f>
        <v/>
      </c>
      <c r="H16" s="50">
        <f>H12*PREMISSAS!C6</f>
        <v/>
      </c>
      <c r="I16" s="50">
        <f>I12*PREMISSAS!C6</f>
        <v/>
      </c>
      <c r="J16" s="50">
        <f>J12*PREMISSAS!C6</f>
        <v/>
      </c>
      <c r="K16" s="50">
        <f>K12*PREMISSAS!C6</f>
        <v/>
      </c>
      <c r="L16" s="50">
        <f>L12*PREMISSAS!C6</f>
        <v/>
      </c>
      <c r="M16" s="50">
        <f>M12*PREMISSAS!C6</f>
        <v/>
      </c>
      <c r="N16" s="50">
        <f>N12*PREMISSAS!C6</f>
        <v/>
      </c>
      <c r="O16" s="51">
        <f>SUM(C16:N16)</f>
        <v/>
      </c>
    </row>
    <row r="17">
      <c r="B17" s="13" t="inlineStr">
        <is>
          <t>(-) Impostos (10.7%)</t>
        </is>
      </c>
      <c r="C17" s="52">
        <f>-C12*PREMISSAS!C6*PREMISSAS!C7</f>
        <v/>
      </c>
      <c r="D17" s="52">
        <f>-D12*PREMISSAS!C6*PREMISSAS!C7</f>
        <v/>
      </c>
      <c r="E17" s="52">
        <f>-E12*PREMISSAS!C6*PREMISSAS!C7</f>
        <v/>
      </c>
      <c r="F17" s="52">
        <f>-F12*PREMISSAS!C6*PREMISSAS!C7</f>
        <v/>
      </c>
      <c r="G17" s="52">
        <f>-G12*PREMISSAS!C6*PREMISSAS!C7</f>
        <v/>
      </c>
      <c r="H17" s="52">
        <f>-H12*PREMISSAS!C6*PREMISSAS!C7</f>
        <v/>
      </c>
      <c r="I17" s="52">
        <f>-I12*PREMISSAS!C6*PREMISSAS!C7</f>
        <v/>
      </c>
      <c r="J17" s="52">
        <f>-J12*PREMISSAS!C6*PREMISSAS!C7</f>
        <v/>
      </c>
      <c r="K17" s="52">
        <f>-K12*PREMISSAS!C6*PREMISSAS!C7</f>
        <v/>
      </c>
      <c r="L17" s="52">
        <f>-L12*PREMISSAS!C6*PREMISSAS!C7</f>
        <v/>
      </c>
      <c r="M17" s="52">
        <f>-M12*PREMISSAS!C6*PREMISSAS!C7</f>
        <v/>
      </c>
      <c r="N17" s="52">
        <f>-N12*PREMISSAS!C6*PREMISSAS!C7</f>
        <v/>
      </c>
      <c r="O17" s="53">
        <f>SUM(C17:N17)</f>
        <v/>
      </c>
    </row>
    <row r="18">
      <c r="B18" s="15" t="inlineStr">
        <is>
          <t>Receita Líquida (NNS)</t>
        </is>
      </c>
      <c r="C18" s="54">
        <f>C16+C17</f>
        <v/>
      </c>
      <c r="D18" s="54">
        <f>D16+D17</f>
        <v/>
      </c>
      <c r="E18" s="54">
        <f>E16+E17</f>
        <v/>
      </c>
      <c r="F18" s="54">
        <f>F16+F17</f>
        <v/>
      </c>
      <c r="G18" s="54">
        <f>G16+G17</f>
        <v/>
      </c>
      <c r="H18" s="54">
        <f>H16+H17</f>
        <v/>
      </c>
      <c r="I18" s="54">
        <f>I16+I17</f>
        <v/>
      </c>
      <c r="J18" s="54">
        <f>J16+J17</f>
        <v/>
      </c>
      <c r="K18" s="54">
        <f>K16+K17</f>
        <v/>
      </c>
      <c r="L18" s="54">
        <f>L16+L17</f>
        <v/>
      </c>
      <c r="M18" s="54">
        <f>M16+M17</f>
        <v/>
      </c>
      <c r="N18" s="54">
        <f>N16+N17</f>
        <v/>
      </c>
      <c r="O18" s="55">
        <f>SUM(C18:N18)</f>
        <v/>
      </c>
    </row>
    <row r="19">
      <c r="B19" s="13" t="inlineStr">
        <is>
          <t>(-) COGS (insumos + ICMS ST)</t>
        </is>
      </c>
      <c r="C19" s="52">
        <f>-C12*(PREMISSAS!C8+PREMISSAS!C9)</f>
        <v/>
      </c>
      <c r="D19" s="52">
        <f>-D12*(PREMISSAS!C8+PREMISSAS!C9)</f>
        <v/>
      </c>
      <c r="E19" s="52">
        <f>-E12*(PREMISSAS!C8+PREMISSAS!C9)</f>
        <v/>
      </c>
      <c r="F19" s="52">
        <f>-F12*(PREMISSAS!C8+PREMISSAS!C9)</f>
        <v/>
      </c>
      <c r="G19" s="52">
        <f>-G12*(PREMISSAS!C8+PREMISSAS!C9)</f>
        <v/>
      </c>
      <c r="H19" s="52">
        <f>-H12*(PREMISSAS!C8+PREMISSAS!C9)</f>
        <v/>
      </c>
      <c r="I19" s="52">
        <f>-I12*(PREMISSAS!C8+PREMISSAS!C9)</f>
        <v/>
      </c>
      <c r="J19" s="52">
        <f>-J12*(PREMISSAS!C8+PREMISSAS!C9)</f>
        <v/>
      </c>
      <c r="K19" s="52">
        <f>-K12*(PREMISSAS!C8+PREMISSAS!C9)</f>
        <v/>
      </c>
      <c r="L19" s="52">
        <f>-L12*(PREMISSAS!C8+PREMISSAS!C9)</f>
        <v/>
      </c>
      <c r="M19" s="52">
        <f>-M12*(PREMISSAS!C8+PREMISSAS!C9)</f>
        <v/>
      </c>
      <c r="N19" s="52">
        <f>-N12*(PREMISSAS!C8+PREMISSAS!C9)</f>
        <v/>
      </c>
      <c r="O19" s="53">
        <f>SUM(C19:N19)</f>
        <v/>
      </c>
    </row>
    <row r="20">
      <c r="B20" s="15" t="inlineStr">
        <is>
          <t>MARGEM DE CONTRIBUIÇÃO (CMC)</t>
        </is>
      </c>
      <c r="C20" s="54">
        <f>C18+C19</f>
        <v/>
      </c>
      <c r="D20" s="54">
        <f>D18+D19</f>
        <v/>
      </c>
      <c r="E20" s="54">
        <f>E18+E19</f>
        <v/>
      </c>
      <c r="F20" s="54">
        <f>F18+F19</f>
        <v/>
      </c>
      <c r="G20" s="54">
        <f>G18+G19</f>
        <v/>
      </c>
      <c r="H20" s="54">
        <f>H18+H19</f>
        <v/>
      </c>
      <c r="I20" s="54">
        <f>I18+I19</f>
        <v/>
      </c>
      <c r="J20" s="54">
        <f>J18+J19</f>
        <v/>
      </c>
      <c r="K20" s="54">
        <f>K18+K19</f>
        <v/>
      </c>
      <c r="L20" s="54">
        <f>L18+L19</f>
        <v/>
      </c>
      <c r="M20" s="54">
        <f>M18+M19</f>
        <v/>
      </c>
      <c r="N20" s="54">
        <f>N18+N19</f>
        <v/>
      </c>
      <c r="O20" s="55">
        <f>SUM(C20:N20)</f>
        <v/>
      </c>
    </row>
    <row r="21">
      <c r="B21" s="56" t="inlineStr">
        <is>
          <t>CMC % (vs Receita Bruta)</t>
        </is>
      </c>
      <c r="C21" s="57">
        <f>IF(C16&lt;&gt;0,C20/C16,0)</f>
        <v/>
      </c>
      <c r="D21" s="57">
        <f>IF(D16&lt;&gt;0,D20/D16,0)</f>
        <v/>
      </c>
      <c r="E21" s="57">
        <f>IF(E16&lt;&gt;0,E20/E16,0)</f>
        <v/>
      </c>
      <c r="F21" s="57">
        <f>IF(F16&lt;&gt;0,F20/F16,0)</f>
        <v/>
      </c>
      <c r="G21" s="57">
        <f>IF(G16&lt;&gt;0,G20/G16,0)</f>
        <v/>
      </c>
      <c r="H21" s="57">
        <f>IF(H16&lt;&gt;0,H20/H16,0)</f>
        <v/>
      </c>
      <c r="I21" s="57">
        <f>IF(I16&lt;&gt;0,I20/I16,0)</f>
        <v/>
      </c>
      <c r="J21" s="57">
        <f>IF(J16&lt;&gt;0,J20/J16,0)</f>
        <v/>
      </c>
      <c r="K21" s="57">
        <f>IF(K16&lt;&gt;0,K20/K16,0)</f>
        <v/>
      </c>
      <c r="L21" s="57">
        <f>IF(L16&lt;&gt;0,L20/L16,0)</f>
        <v/>
      </c>
      <c r="M21" s="57">
        <f>IF(M16&lt;&gt;0,M20/M16,0)</f>
        <v/>
      </c>
      <c r="N21" s="57">
        <f>IF(N16&lt;&gt;0,N20/N16,0)</f>
        <v/>
      </c>
      <c r="O21" s="58">
        <f>AVERAGE(C21:N21)</f>
        <v/>
      </c>
    </row>
    <row r="22">
      <c r="B22" s="13" t="inlineStr">
        <is>
          <t>(-) Marketing Recorrente</t>
        </is>
      </c>
      <c r="C22" s="52">
        <f>-PREMISSAS!C40</f>
        <v/>
      </c>
      <c r="D22" s="52">
        <f>-PREMISSAS!C40</f>
        <v/>
      </c>
      <c r="E22" s="52">
        <f>-PREMISSAS!C40</f>
        <v/>
      </c>
      <c r="F22" s="52">
        <f>-PREMISSAS!C40</f>
        <v/>
      </c>
      <c r="G22" s="52">
        <f>-PREMISSAS!C40</f>
        <v/>
      </c>
      <c r="H22" s="52">
        <f>-PREMISSAS!C40</f>
        <v/>
      </c>
      <c r="I22" s="52">
        <f>-PREMISSAS!C40</f>
        <v/>
      </c>
      <c r="J22" s="52">
        <f>-PREMISSAS!C40</f>
        <v/>
      </c>
      <c r="K22" s="52">
        <f>-PREMISSAS!C40</f>
        <v/>
      </c>
      <c r="L22" s="52">
        <f>-PREMISSAS!C40</f>
        <v/>
      </c>
      <c r="M22" s="52">
        <f>-PREMISSAS!C40</f>
        <v/>
      </c>
      <c r="N22" s="52">
        <f>-PREMISSAS!C40</f>
        <v/>
      </c>
      <c r="O22" s="53">
        <f>SUM(C22:N22)</f>
        <v/>
      </c>
    </row>
    <row r="23">
      <c r="B23" s="13" t="inlineStr">
        <is>
          <t>(-) Invest. Lançamento (mês 1)</t>
        </is>
      </c>
      <c r="C23" s="52">
        <f>IF(1=1,-PREMISSAS!C41,0)</f>
        <v/>
      </c>
      <c r="D23" s="52">
        <f>IF(2=1,-PREMISSAS!C41,0)</f>
        <v/>
      </c>
      <c r="E23" s="52">
        <f>IF(3=1,-PREMISSAS!C41,0)</f>
        <v/>
      </c>
      <c r="F23" s="52">
        <f>IF(4=1,-PREMISSAS!C41,0)</f>
        <v/>
      </c>
      <c r="G23" s="52">
        <f>IF(5=1,-PREMISSAS!C41,0)</f>
        <v/>
      </c>
      <c r="H23" s="52">
        <f>IF(6=1,-PREMISSAS!C41,0)</f>
        <v/>
      </c>
      <c r="I23" s="52">
        <f>IF(7=1,-PREMISSAS!C41,0)</f>
        <v/>
      </c>
      <c r="J23" s="52">
        <f>IF(8=1,-PREMISSAS!C41,0)</f>
        <v/>
      </c>
      <c r="K23" s="52">
        <f>IF(9=1,-PREMISSAS!C41,0)</f>
        <v/>
      </c>
      <c r="L23" s="52">
        <f>IF(10=1,-PREMISSAS!C41,0)</f>
        <v/>
      </c>
      <c r="M23" s="52">
        <f>IF(11=1,-PREMISSAS!C41,0)</f>
        <v/>
      </c>
      <c r="N23" s="52">
        <f>IF(12=1,-PREMISSAS!C41,0)</f>
        <v/>
      </c>
      <c r="O23" s="53">
        <f>SUM(C23:N23)</f>
        <v/>
      </c>
    </row>
    <row r="24">
      <c r="B24" s="59" t="inlineStr">
        <is>
          <t>EBITDA</t>
        </is>
      </c>
      <c r="C24" s="60">
        <f>C20+C22+C23</f>
        <v/>
      </c>
      <c r="D24" s="60">
        <f>D20+D22+D23</f>
        <v/>
      </c>
      <c r="E24" s="60">
        <f>E20+E22+E23</f>
        <v/>
      </c>
      <c r="F24" s="60">
        <f>F20+F22+F23</f>
        <v/>
      </c>
      <c r="G24" s="60">
        <f>G20+G22+G23</f>
        <v/>
      </c>
      <c r="H24" s="60">
        <f>H20+H22+H23</f>
        <v/>
      </c>
      <c r="I24" s="60">
        <f>I20+I22+I23</f>
        <v/>
      </c>
      <c r="J24" s="60">
        <f>J20+J22+J23</f>
        <v/>
      </c>
      <c r="K24" s="60">
        <f>K20+K22+K23</f>
        <v/>
      </c>
      <c r="L24" s="60">
        <f>L20+L22+L23</f>
        <v/>
      </c>
      <c r="M24" s="60">
        <f>M20+M22+M23</f>
        <v/>
      </c>
      <c r="N24" s="60">
        <f>N20+N22+N23</f>
        <v/>
      </c>
      <c r="O24" s="55">
        <f>SUM(C24:N24)</f>
        <v/>
      </c>
    </row>
    <row r="25">
      <c r="B25" s="56" t="inlineStr">
        <is>
          <t>EBITDA % (vs Rec. Bruta)</t>
        </is>
      </c>
      <c r="C25" s="57">
        <f>IF(C16&lt;&gt;0,C24/C16,0)</f>
        <v/>
      </c>
      <c r="D25" s="57">
        <f>IF(D16&lt;&gt;0,D24/D16,0)</f>
        <v/>
      </c>
      <c r="E25" s="57">
        <f>IF(E16&lt;&gt;0,E24/E16,0)</f>
        <v/>
      </c>
      <c r="F25" s="57">
        <f>IF(F16&lt;&gt;0,F24/F16,0)</f>
        <v/>
      </c>
      <c r="G25" s="57">
        <f>IF(G16&lt;&gt;0,G24/G16,0)</f>
        <v/>
      </c>
      <c r="H25" s="57">
        <f>IF(H16&lt;&gt;0,H24/H16,0)</f>
        <v/>
      </c>
      <c r="I25" s="57">
        <f>IF(I16&lt;&gt;0,I24/I16,0)</f>
        <v/>
      </c>
      <c r="J25" s="57">
        <f>IF(J16&lt;&gt;0,J24/J16,0)</f>
        <v/>
      </c>
      <c r="K25" s="57">
        <f>IF(K16&lt;&gt;0,K24/K16,0)</f>
        <v/>
      </c>
      <c r="L25" s="57">
        <f>IF(L16&lt;&gt;0,L24/L16,0)</f>
        <v/>
      </c>
      <c r="M25" s="57">
        <f>IF(M16&lt;&gt;0,M24/M16,0)</f>
        <v/>
      </c>
      <c r="N25" s="57">
        <f>IF(N16&lt;&gt;0,N24/N16,0)</f>
        <v/>
      </c>
      <c r="O25" s="58">
        <f>AVERAGE(C25:N25)</f>
        <v/>
      </c>
    </row>
    <row r="28">
      <c r="B28" s="40" t="inlineStr">
        <is>
          <t>══ CENÁRIO REALISTA ══  (R)</t>
        </is>
      </c>
    </row>
    <row r="29">
      <c r="B29" s="3" t="inlineStr">
        <is>
          <t>VOLUME (unidades)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5" t="n"/>
    </row>
    <row r="30">
      <c r="B30" s="6" t="inlineStr">
        <is>
          <t>Segmento</t>
        </is>
      </c>
      <c r="C30" s="6" t="inlineStr">
        <is>
          <t>Jan</t>
        </is>
      </c>
      <c r="D30" s="6" t="inlineStr">
        <is>
          <t>Fev</t>
        </is>
      </c>
      <c r="E30" s="6" t="inlineStr">
        <is>
          <t>Mar</t>
        </is>
      </c>
      <c r="F30" s="6" t="inlineStr">
        <is>
          <t>Abr</t>
        </is>
      </c>
      <c r="G30" s="6" t="inlineStr">
        <is>
          <t>Mai</t>
        </is>
      </c>
      <c r="H30" s="6" t="inlineStr">
        <is>
          <t>Jun</t>
        </is>
      </c>
      <c r="I30" s="6" t="inlineStr">
        <is>
          <t>Jul</t>
        </is>
      </c>
      <c r="J30" s="6" t="inlineStr">
        <is>
          <t>Ago</t>
        </is>
      </c>
      <c r="K30" s="6" t="inlineStr">
        <is>
          <t>Set</t>
        </is>
      </c>
      <c r="L30" s="6" t="inlineStr">
        <is>
          <t>Out</t>
        </is>
      </c>
      <c r="M30" s="6" t="inlineStr">
        <is>
          <t>Nov</t>
        </is>
      </c>
      <c r="N30" s="6" t="inlineStr">
        <is>
          <t>Dez</t>
        </is>
      </c>
      <c r="O30" s="6" t="inlineStr">
        <is>
          <t>TOTAL ANO</t>
        </is>
      </c>
    </row>
    <row r="31">
      <c r="B31" s="23" t="inlineStr">
        <is>
          <t xml:space="preserve">  Alta (7 lojas)</t>
        </is>
      </c>
      <c r="C31" s="41">
        <f>ROUND(PREMISSAS!C22*PREMISSAS!D22*PREMISSAS!G22*26*PREMISSAS!C29,0)</f>
        <v/>
      </c>
      <c r="D31" s="41">
        <f>ROUND(PREMISSAS!C22*PREMISSAS!D22*PREMISSAS!G22*26*PREMISSAS!D29,0)</f>
        <v/>
      </c>
      <c r="E31" s="41">
        <f>ROUND(PREMISSAS!C22*PREMISSAS!D22*PREMISSAS!G22*26*PREMISSAS!E29,0)</f>
        <v/>
      </c>
      <c r="F31" s="41">
        <f>ROUND(PREMISSAS!C22*PREMISSAS!D22*PREMISSAS!G22*26*PREMISSAS!F29,0)</f>
        <v/>
      </c>
      <c r="G31" s="41">
        <f>ROUND(PREMISSAS!C22*PREMISSAS!D22*PREMISSAS!G22*26*PREMISSAS!G29,0)</f>
        <v/>
      </c>
      <c r="H31" s="41">
        <f>ROUND(PREMISSAS!C22*PREMISSAS!D22*PREMISSAS!G22*26*PREMISSAS!H29,0)</f>
        <v/>
      </c>
      <c r="I31" s="41">
        <f>ROUND(PREMISSAS!C22*PREMISSAS!D22*PREMISSAS!G22*26*PREMISSAS!I29,0)</f>
        <v/>
      </c>
      <c r="J31" s="41">
        <f>ROUND(PREMISSAS!C22*PREMISSAS!D22*PREMISSAS!G22*26*PREMISSAS!J29,0)</f>
        <v/>
      </c>
      <c r="K31" s="41">
        <f>ROUND(PREMISSAS!C22*PREMISSAS!D22*PREMISSAS!G22*26*PREMISSAS!K29,0)</f>
        <v/>
      </c>
      <c r="L31" s="41">
        <f>ROUND(PREMISSAS!C22*PREMISSAS!D22*PREMISSAS!G22*26*PREMISSAS!L29,0)</f>
        <v/>
      </c>
      <c r="M31" s="41">
        <f>ROUND(PREMISSAS!C22*PREMISSAS!D22*PREMISSAS!G22*26*PREMISSAS!M29,0)</f>
        <v/>
      </c>
      <c r="N31" s="41">
        <f>ROUND(PREMISSAS!C22*PREMISSAS!D22*PREMISSAS!G22*26*PREMISSAS!N29,0)</f>
        <v/>
      </c>
      <c r="O31" s="42">
        <f>SUM(C31:N31)</f>
        <v/>
      </c>
    </row>
    <row r="32">
      <c r="B32" s="26" t="inlineStr">
        <is>
          <t xml:space="preserve">  Média (306 lojas)</t>
        </is>
      </c>
      <c r="C32" s="43">
        <f>ROUND(PREMISSAS!C23*PREMISSAS!D23*PREMISSAS!G23*26*PREMISSAS!C29,0)</f>
        <v/>
      </c>
      <c r="D32" s="43">
        <f>ROUND(PREMISSAS!C23*PREMISSAS!D23*PREMISSAS!G23*26*PREMISSAS!D29,0)</f>
        <v/>
      </c>
      <c r="E32" s="43">
        <f>ROUND(PREMISSAS!C23*PREMISSAS!D23*PREMISSAS!G23*26*PREMISSAS!E29,0)</f>
        <v/>
      </c>
      <c r="F32" s="43">
        <f>ROUND(PREMISSAS!C23*PREMISSAS!D23*PREMISSAS!G23*26*PREMISSAS!F29,0)</f>
        <v/>
      </c>
      <c r="G32" s="43">
        <f>ROUND(PREMISSAS!C23*PREMISSAS!D23*PREMISSAS!G23*26*PREMISSAS!G29,0)</f>
        <v/>
      </c>
      <c r="H32" s="43">
        <f>ROUND(PREMISSAS!C23*PREMISSAS!D23*PREMISSAS!G23*26*PREMISSAS!H29,0)</f>
        <v/>
      </c>
      <c r="I32" s="43">
        <f>ROUND(PREMISSAS!C23*PREMISSAS!D23*PREMISSAS!G23*26*PREMISSAS!I29,0)</f>
        <v/>
      </c>
      <c r="J32" s="43">
        <f>ROUND(PREMISSAS!C23*PREMISSAS!D23*PREMISSAS!G23*26*PREMISSAS!J29,0)</f>
        <v/>
      </c>
      <c r="K32" s="43">
        <f>ROUND(PREMISSAS!C23*PREMISSAS!D23*PREMISSAS!G23*26*PREMISSAS!K29,0)</f>
        <v/>
      </c>
      <c r="L32" s="43">
        <f>ROUND(PREMISSAS!C23*PREMISSAS!D23*PREMISSAS!G23*26*PREMISSAS!L29,0)</f>
        <v/>
      </c>
      <c r="M32" s="43">
        <f>ROUND(PREMISSAS!C23*PREMISSAS!D23*PREMISSAS!G23*26*PREMISSAS!M29,0)</f>
        <v/>
      </c>
      <c r="N32" s="43">
        <f>ROUND(PREMISSAS!C23*PREMISSAS!D23*PREMISSAS!G23*26*PREMISSAS!N29,0)</f>
        <v/>
      </c>
      <c r="O32" s="44">
        <f>SUM(C32:N32)</f>
        <v/>
      </c>
    </row>
    <row r="33">
      <c r="B33" s="28" t="inlineStr">
        <is>
          <t xml:space="preserve">  Baixa (487 lojas)</t>
        </is>
      </c>
      <c r="C33" s="45">
        <f>ROUND(PREMISSAS!C24*PREMISSAS!D24*PREMISSAS!G24*26*PREMISSAS!C29,0)</f>
        <v/>
      </c>
      <c r="D33" s="45">
        <f>ROUND(PREMISSAS!C24*PREMISSAS!D24*PREMISSAS!G24*26*PREMISSAS!D29,0)</f>
        <v/>
      </c>
      <c r="E33" s="45">
        <f>ROUND(PREMISSAS!C24*PREMISSAS!D24*PREMISSAS!G24*26*PREMISSAS!E29,0)</f>
        <v/>
      </c>
      <c r="F33" s="45">
        <f>ROUND(PREMISSAS!C24*PREMISSAS!D24*PREMISSAS!G24*26*PREMISSAS!F29,0)</f>
        <v/>
      </c>
      <c r="G33" s="45">
        <f>ROUND(PREMISSAS!C24*PREMISSAS!D24*PREMISSAS!G24*26*PREMISSAS!G29,0)</f>
        <v/>
      </c>
      <c r="H33" s="45">
        <f>ROUND(PREMISSAS!C24*PREMISSAS!D24*PREMISSAS!G24*26*PREMISSAS!H29,0)</f>
        <v/>
      </c>
      <c r="I33" s="45">
        <f>ROUND(PREMISSAS!C24*PREMISSAS!D24*PREMISSAS!G24*26*PREMISSAS!I29,0)</f>
        <v/>
      </c>
      <c r="J33" s="45">
        <f>ROUND(PREMISSAS!C24*PREMISSAS!D24*PREMISSAS!G24*26*PREMISSAS!J29,0)</f>
        <v/>
      </c>
      <c r="K33" s="45">
        <f>ROUND(PREMISSAS!C24*PREMISSAS!D24*PREMISSAS!G24*26*PREMISSAS!K29,0)</f>
        <v/>
      </c>
      <c r="L33" s="45">
        <f>ROUND(PREMISSAS!C24*PREMISSAS!D24*PREMISSAS!G24*26*PREMISSAS!L29,0)</f>
        <v/>
      </c>
      <c r="M33" s="45">
        <f>ROUND(PREMISSAS!C24*PREMISSAS!D24*PREMISSAS!G24*26*PREMISSAS!M29,0)</f>
        <v/>
      </c>
      <c r="N33" s="45">
        <f>ROUND(PREMISSAS!C24*PREMISSAS!D24*PREMISSAS!G24*26*PREMISSAS!N29,0)</f>
        <v/>
      </c>
      <c r="O33" s="46">
        <f>SUM(C33:N33)</f>
        <v/>
      </c>
    </row>
    <row r="34">
      <c r="B34" s="30" t="inlineStr">
        <is>
          <t>TOTAL REDE (un)</t>
        </is>
      </c>
      <c r="C34" s="31">
        <f>C31+C32+C33</f>
        <v/>
      </c>
      <c r="D34" s="31">
        <f>D31+D32+D33</f>
        <v/>
      </c>
      <c r="E34" s="31">
        <f>E31+E32+E33</f>
        <v/>
      </c>
      <c r="F34" s="31">
        <f>F31+F32+F33</f>
        <v/>
      </c>
      <c r="G34" s="31">
        <f>G31+G32+G33</f>
        <v/>
      </c>
      <c r="H34" s="31">
        <f>H31+H32+H33</f>
        <v/>
      </c>
      <c r="I34" s="31">
        <f>I31+I32+I33</f>
        <v/>
      </c>
      <c r="J34" s="31">
        <f>J31+J32+J33</f>
        <v/>
      </c>
      <c r="K34" s="31">
        <f>K31+K32+K33</f>
        <v/>
      </c>
      <c r="L34" s="31">
        <f>L31+L32+L33</f>
        <v/>
      </c>
      <c r="M34" s="31">
        <f>M31+M32+M33</f>
        <v/>
      </c>
      <c r="N34" s="31">
        <f>N31+N32+N33</f>
        <v/>
      </c>
      <c r="O34" s="47">
        <f>SUM(C34:N34)</f>
        <v/>
      </c>
    </row>
    <row r="35">
      <c r="B35" s="39" t="inlineStr">
        <is>
          <t xml:space="preserve">   ↳ Un/loja/dia (média rede)</t>
        </is>
      </c>
      <c r="C35" s="48">
        <f>ROUND(C34/800/26,1)</f>
        <v/>
      </c>
      <c r="D35" s="48">
        <f>ROUND(D34/800/26,1)</f>
        <v/>
      </c>
      <c r="E35" s="48">
        <f>ROUND(E34/800/26,1)</f>
        <v/>
      </c>
      <c r="F35" s="48">
        <f>ROUND(F34/800/26,1)</f>
        <v/>
      </c>
      <c r="G35" s="48">
        <f>ROUND(G34/800/26,1)</f>
        <v/>
      </c>
      <c r="H35" s="48">
        <f>ROUND(H34/800/26,1)</f>
        <v/>
      </c>
      <c r="I35" s="48">
        <f>ROUND(I34/800/26,1)</f>
        <v/>
      </c>
      <c r="J35" s="48">
        <f>ROUND(J34/800/26,1)</f>
        <v/>
      </c>
      <c r="K35" s="48">
        <f>ROUND(K34/800/26,1)</f>
        <v/>
      </c>
      <c r="L35" s="48">
        <f>ROUND(L34/800/26,1)</f>
        <v/>
      </c>
      <c r="M35" s="48">
        <f>ROUND(M34/800/26,1)</f>
        <v/>
      </c>
      <c r="N35" s="48">
        <f>ROUND(N34/800/26,1)</f>
        <v/>
      </c>
      <c r="O35" s="49">
        <f>ROUND(O34/800/12/26,1)</f>
        <v/>
      </c>
    </row>
    <row r="36">
      <c r="B36" s="3" t="inlineStr">
        <is>
          <t>DRE — REDE COMPLETA (R$)</t>
        </is>
      </c>
    </row>
    <row r="37">
      <c r="B37" s="6" t="inlineStr">
        <is>
          <t>Linha DRE</t>
        </is>
      </c>
      <c r="C37" s="6" t="inlineStr">
        <is>
          <t>Jan</t>
        </is>
      </c>
      <c r="D37" s="6" t="inlineStr">
        <is>
          <t>Fev</t>
        </is>
      </c>
      <c r="E37" s="6" t="inlineStr">
        <is>
          <t>Mar</t>
        </is>
      </c>
      <c r="F37" s="6" t="inlineStr">
        <is>
          <t>Abr</t>
        </is>
      </c>
      <c r="G37" s="6" t="inlineStr">
        <is>
          <t>Mai</t>
        </is>
      </c>
      <c r="H37" s="6" t="inlineStr">
        <is>
          <t>Jun</t>
        </is>
      </c>
      <c r="I37" s="6" t="inlineStr">
        <is>
          <t>Jul</t>
        </is>
      </c>
      <c r="J37" s="6" t="inlineStr">
        <is>
          <t>Ago</t>
        </is>
      </c>
      <c r="K37" s="6" t="inlineStr">
        <is>
          <t>Set</t>
        </is>
      </c>
      <c r="L37" s="6" t="inlineStr">
        <is>
          <t>Out</t>
        </is>
      </c>
      <c r="M37" s="6" t="inlineStr">
        <is>
          <t>Nov</t>
        </is>
      </c>
      <c r="N37" s="6" t="inlineStr">
        <is>
          <t>Dez</t>
        </is>
      </c>
      <c r="O37" s="6" t="inlineStr">
        <is>
          <t>TOTAL ANO</t>
        </is>
      </c>
    </row>
    <row r="38">
      <c r="B38" s="7" t="inlineStr">
        <is>
          <t>Receita Bruta</t>
        </is>
      </c>
      <c r="C38" s="50">
        <f>C34*PREMISSAS!C6</f>
        <v/>
      </c>
      <c r="D38" s="50">
        <f>D34*PREMISSAS!C6</f>
        <v/>
      </c>
      <c r="E38" s="50">
        <f>E34*PREMISSAS!C6</f>
        <v/>
      </c>
      <c r="F38" s="50">
        <f>F34*PREMISSAS!C6</f>
        <v/>
      </c>
      <c r="G38" s="50">
        <f>G34*PREMISSAS!C6</f>
        <v/>
      </c>
      <c r="H38" s="50">
        <f>H34*PREMISSAS!C6</f>
        <v/>
      </c>
      <c r="I38" s="50">
        <f>I34*PREMISSAS!C6</f>
        <v/>
      </c>
      <c r="J38" s="50">
        <f>J34*PREMISSAS!C6</f>
        <v/>
      </c>
      <c r="K38" s="50">
        <f>K34*PREMISSAS!C6</f>
        <v/>
      </c>
      <c r="L38" s="50">
        <f>L34*PREMISSAS!C6</f>
        <v/>
      </c>
      <c r="M38" s="50">
        <f>M34*PREMISSAS!C6</f>
        <v/>
      </c>
      <c r="N38" s="50">
        <f>N34*PREMISSAS!C6</f>
        <v/>
      </c>
      <c r="O38" s="51">
        <f>SUM(C38:N38)</f>
        <v/>
      </c>
    </row>
    <row r="39">
      <c r="B39" s="13" t="inlineStr">
        <is>
          <t>(-) Impostos (10.7%)</t>
        </is>
      </c>
      <c r="C39" s="52">
        <f>-C34*PREMISSAS!C6*PREMISSAS!C7</f>
        <v/>
      </c>
      <c r="D39" s="52">
        <f>-D34*PREMISSAS!C6*PREMISSAS!C7</f>
        <v/>
      </c>
      <c r="E39" s="52">
        <f>-E34*PREMISSAS!C6*PREMISSAS!C7</f>
        <v/>
      </c>
      <c r="F39" s="52">
        <f>-F34*PREMISSAS!C6*PREMISSAS!C7</f>
        <v/>
      </c>
      <c r="G39" s="52">
        <f>-G34*PREMISSAS!C6*PREMISSAS!C7</f>
        <v/>
      </c>
      <c r="H39" s="52">
        <f>-H34*PREMISSAS!C6*PREMISSAS!C7</f>
        <v/>
      </c>
      <c r="I39" s="52">
        <f>-I34*PREMISSAS!C6*PREMISSAS!C7</f>
        <v/>
      </c>
      <c r="J39" s="52">
        <f>-J34*PREMISSAS!C6*PREMISSAS!C7</f>
        <v/>
      </c>
      <c r="K39" s="52">
        <f>-K34*PREMISSAS!C6*PREMISSAS!C7</f>
        <v/>
      </c>
      <c r="L39" s="52">
        <f>-L34*PREMISSAS!C6*PREMISSAS!C7</f>
        <v/>
      </c>
      <c r="M39" s="52">
        <f>-M34*PREMISSAS!C6*PREMISSAS!C7</f>
        <v/>
      </c>
      <c r="N39" s="52">
        <f>-N34*PREMISSAS!C6*PREMISSAS!C7</f>
        <v/>
      </c>
      <c r="O39" s="53">
        <f>SUM(C39:N39)</f>
        <v/>
      </c>
    </row>
    <row r="40">
      <c r="B40" s="15" t="inlineStr">
        <is>
          <t>Receita Líquida (NNS)</t>
        </is>
      </c>
      <c r="C40" s="54">
        <f>C38+C39</f>
        <v/>
      </c>
      <c r="D40" s="54">
        <f>D38+D39</f>
        <v/>
      </c>
      <c r="E40" s="54">
        <f>E38+E39</f>
        <v/>
      </c>
      <c r="F40" s="54">
        <f>F38+F39</f>
        <v/>
      </c>
      <c r="G40" s="54">
        <f>G38+G39</f>
        <v/>
      </c>
      <c r="H40" s="54">
        <f>H38+H39</f>
        <v/>
      </c>
      <c r="I40" s="54">
        <f>I38+I39</f>
        <v/>
      </c>
      <c r="J40" s="54">
        <f>J38+J39</f>
        <v/>
      </c>
      <c r="K40" s="54">
        <f>K38+K39</f>
        <v/>
      </c>
      <c r="L40" s="54">
        <f>L38+L39</f>
        <v/>
      </c>
      <c r="M40" s="54">
        <f>M38+M39</f>
        <v/>
      </c>
      <c r="N40" s="54">
        <f>N38+N39</f>
        <v/>
      </c>
      <c r="O40" s="61">
        <f>SUM(C40:N40)</f>
        <v/>
      </c>
    </row>
    <row r="41">
      <c r="B41" s="13" t="inlineStr">
        <is>
          <t>(-) COGS (insumos + ICMS ST)</t>
        </is>
      </c>
      <c r="C41" s="52">
        <f>-C34*(PREMISSAS!C8+PREMISSAS!C9)</f>
        <v/>
      </c>
      <c r="D41" s="52">
        <f>-D34*(PREMISSAS!C8+PREMISSAS!C9)</f>
        <v/>
      </c>
      <c r="E41" s="52">
        <f>-E34*(PREMISSAS!C8+PREMISSAS!C9)</f>
        <v/>
      </c>
      <c r="F41" s="52">
        <f>-F34*(PREMISSAS!C8+PREMISSAS!C9)</f>
        <v/>
      </c>
      <c r="G41" s="52">
        <f>-G34*(PREMISSAS!C8+PREMISSAS!C9)</f>
        <v/>
      </c>
      <c r="H41" s="52">
        <f>-H34*(PREMISSAS!C8+PREMISSAS!C9)</f>
        <v/>
      </c>
      <c r="I41" s="52">
        <f>-I34*(PREMISSAS!C8+PREMISSAS!C9)</f>
        <v/>
      </c>
      <c r="J41" s="52">
        <f>-J34*(PREMISSAS!C8+PREMISSAS!C9)</f>
        <v/>
      </c>
      <c r="K41" s="52">
        <f>-K34*(PREMISSAS!C8+PREMISSAS!C9)</f>
        <v/>
      </c>
      <c r="L41" s="52">
        <f>-L34*(PREMISSAS!C8+PREMISSAS!C9)</f>
        <v/>
      </c>
      <c r="M41" s="52">
        <f>-M34*(PREMISSAS!C8+PREMISSAS!C9)</f>
        <v/>
      </c>
      <c r="N41" s="52">
        <f>-N34*(PREMISSAS!C8+PREMISSAS!C9)</f>
        <v/>
      </c>
      <c r="O41" s="53">
        <f>SUM(C41:N41)</f>
        <v/>
      </c>
    </row>
    <row r="42">
      <c r="B42" s="15" t="inlineStr">
        <is>
          <t>MARGEM DE CONTRIBUIÇÃO (CMC)</t>
        </is>
      </c>
      <c r="C42" s="54">
        <f>C40+C41</f>
        <v/>
      </c>
      <c r="D42" s="54">
        <f>D40+D41</f>
        <v/>
      </c>
      <c r="E42" s="54">
        <f>E40+E41</f>
        <v/>
      </c>
      <c r="F42" s="54">
        <f>F40+F41</f>
        <v/>
      </c>
      <c r="G42" s="54">
        <f>G40+G41</f>
        <v/>
      </c>
      <c r="H42" s="54">
        <f>H40+H41</f>
        <v/>
      </c>
      <c r="I42" s="54">
        <f>I40+I41</f>
        <v/>
      </c>
      <c r="J42" s="54">
        <f>J40+J41</f>
        <v/>
      </c>
      <c r="K42" s="54">
        <f>K40+K41</f>
        <v/>
      </c>
      <c r="L42" s="54">
        <f>L40+L41</f>
        <v/>
      </c>
      <c r="M42" s="54">
        <f>M40+M41</f>
        <v/>
      </c>
      <c r="N42" s="54">
        <f>N40+N41</f>
        <v/>
      </c>
      <c r="O42" s="61">
        <f>SUM(C42:N42)</f>
        <v/>
      </c>
    </row>
    <row r="43">
      <c r="B43" s="56" t="inlineStr">
        <is>
          <t>CMC % (vs Receita Bruta)</t>
        </is>
      </c>
      <c r="C43" s="57">
        <f>IF(C38&lt;&gt;0,C42/C38,0)</f>
        <v/>
      </c>
      <c r="D43" s="57">
        <f>IF(D38&lt;&gt;0,D42/D38,0)</f>
        <v/>
      </c>
      <c r="E43" s="57">
        <f>IF(E38&lt;&gt;0,E42/E38,0)</f>
        <v/>
      </c>
      <c r="F43" s="57">
        <f>IF(F38&lt;&gt;0,F42/F38,0)</f>
        <v/>
      </c>
      <c r="G43" s="57">
        <f>IF(G38&lt;&gt;0,G42/G38,0)</f>
        <v/>
      </c>
      <c r="H43" s="57">
        <f>IF(H38&lt;&gt;0,H42/H38,0)</f>
        <v/>
      </c>
      <c r="I43" s="57">
        <f>IF(I38&lt;&gt;0,I42/I38,0)</f>
        <v/>
      </c>
      <c r="J43" s="57">
        <f>IF(J38&lt;&gt;0,J42/J38,0)</f>
        <v/>
      </c>
      <c r="K43" s="57">
        <f>IF(K38&lt;&gt;0,K42/K38,0)</f>
        <v/>
      </c>
      <c r="L43" s="57">
        <f>IF(L38&lt;&gt;0,L42/L38,0)</f>
        <v/>
      </c>
      <c r="M43" s="57">
        <f>IF(M38&lt;&gt;0,M42/M38,0)</f>
        <v/>
      </c>
      <c r="N43" s="57">
        <f>IF(N38&lt;&gt;0,N42/N38,0)</f>
        <v/>
      </c>
      <c r="O43" s="58">
        <f>AVERAGE(C43:N43)</f>
        <v/>
      </c>
    </row>
    <row r="44">
      <c r="B44" s="13" t="inlineStr">
        <is>
          <t>(-) Marketing Recorrente</t>
        </is>
      </c>
      <c r="C44" s="52">
        <f>-PREMISSAS!C40</f>
        <v/>
      </c>
      <c r="D44" s="52">
        <f>-PREMISSAS!C40</f>
        <v/>
      </c>
      <c r="E44" s="52">
        <f>-PREMISSAS!C40</f>
        <v/>
      </c>
      <c r="F44" s="52">
        <f>-PREMISSAS!C40</f>
        <v/>
      </c>
      <c r="G44" s="52">
        <f>-PREMISSAS!C40</f>
        <v/>
      </c>
      <c r="H44" s="52">
        <f>-PREMISSAS!C40</f>
        <v/>
      </c>
      <c r="I44" s="52">
        <f>-PREMISSAS!C40</f>
        <v/>
      </c>
      <c r="J44" s="52">
        <f>-PREMISSAS!C40</f>
        <v/>
      </c>
      <c r="K44" s="52">
        <f>-PREMISSAS!C40</f>
        <v/>
      </c>
      <c r="L44" s="52">
        <f>-PREMISSAS!C40</f>
        <v/>
      </c>
      <c r="M44" s="52">
        <f>-PREMISSAS!C40</f>
        <v/>
      </c>
      <c r="N44" s="52">
        <f>-PREMISSAS!C40</f>
        <v/>
      </c>
      <c r="O44" s="53">
        <f>SUM(C44:N44)</f>
        <v/>
      </c>
    </row>
    <row r="45">
      <c r="B45" s="13" t="inlineStr">
        <is>
          <t>(-) Invest. Lançamento (mês 1)</t>
        </is>
      </c>
      <c r="C45" s="52">
        <f>IF(1=1,-PREMISSAS!C41,0)</f>
        <v/>
      </c>
      <c r="D45" s="52">
        <f>IF(2=1,-PREMISSAS!C41,0)</f>
        <v/>
      </c>
      <c r="E45" s="52">
        <f>IF(3=1,-PREMISSAS!C41,0)</f>
        <v/>
      </c>
      <c r="F45" s="52">
        <f>IF(4=1,-PREMISSAS!C41,0)</f>
        <v/>
      </c>
      <c r="G45" s="52">
        <f>IF(5=1,-PREMISSAS!C41,0)</f>
        <v/>
      </c>
      <c r="H45" s="52">
        <f>IF(6=1,-PREMISSAS!C41,0)</f>
        <v/>
      </c>
      <c r="I45" s="52">
        <f>IF(7=1,-PREMISSAS!C41,0)</f>
        <v/>
      </c>
      <c r="J45" s="52">
        <f>IF(8=1,-PREMISSAS!C41,0)</f>
        <v/>
      </c>
      <c r="K45" s="52">
        <f>IF(9=1,-PREMISSAS!C41,0)</f>
        <v/>
      </c>
      <c r="L45" s="52">
        <f>IF(10=1,-PREMISSAS!C41,0)</f>
        <v/>
      </c>
      <c r="M45" s="52">
        <f>IF(11=1,-PREMISSAS!C41,0)</f>
        <v/>
      </c>
      <c r="N45" s="52">
        <f>IF(12=1,-PREMISSAS!C41,0)</f>
        <v/>
      </c>
      <c r="O45" s="53">
        <f>SUM(C45:N45)</f>
        <v/>
      </c>
    </row>
    <row r="46">
      <c r="B46" s="15" t="inlineStr">
        <is>
          <t>EBITDA</t>
        </is>
      </c>
      <c r="C46" s="54">
        <f>C42+C44+C45</f>
        <v/>
      </c>
      <c r="D46" s="54">
        <f>D42+D44+D45</f>
        <v/>
      </c>
      <c r="E46" s="54">
        <f>E42+E44+E45</f>
        <v/>
      </c>
      <c r="F46" s="54">
        <f>F42+F44+F45</f>
        <v/>
      </c>
      <c r="G46" s="54">
        <f>G42+G44+G45</f>
        <v/>
      </c>
      <c r="H46" s="54">
        <f>H42+H44+H45</f>
        <v/>
      </c>
      <c r="I46" s="54">
        <f>I42+I44+I45</f>
        <v/>
      </c>
      <c r="J46" s="54">
        <f>J42+J44+J45</f>
        <v/>
      </c>
      <c r="K46" s="54">
        <f>K42+K44+K45</f>
        <v/>
      </c>
      <c r="L46" s="54">
        <f>L42+L44+L45</f>
        <v/>
      </c>
      <c r="M46" s="54">
        <f>M42+M44+M45</f>
        <v/>
      </c>
      <c r="N46" s="54">
        <f>N42+N44+N45</f>
        <v/>
      </c>
      <c r="O46" s="61">
        <f>SUM(C46:N46)</f>
        <v/>
      </c>
    </row>
    <row r="47">
      <c r="B47" s="56" t="inlineStr">
        <is>
          <t>EBITDA % (vs Rec. Bruta)</t>
        </is>
      </c>
      <c r="C47" s="57">
        <f>IF(C38&lt;&gt;0,C46/C38,0)</f>
        <v/>
      </c>
      <c r="D47" s="57">
        <f>IF(D38&lt;&gt;0,D46/D38,0)</f>
        <v/>
      </c>
      <c r="E47" s="57">
        <f>IF(E38&lt;&gt;0,E46/E38,0)</f>
        <v/>
      </c>
      <c r="F47" s="57">
        <f>IF(F38&lt;&gt;0,F46/F38,0)</f>
        <v/>
      </c>
      <c r="G47" s="57">
        <f>IF(G38&lt;&gt;0,G46/G38,0)</f>
        <v/>
      </c>
      <c r="H47" s="57">
        <f>IF(H38&lt;&gt;0,H46/H38,0)</f>
        <v/>
      </c>
      <c r="I47" s="57">
        <f>IF(I38&lt;&gt;0,I46/I38,0)</f>
        <v/>
      </c>
      <c r="J47" s="57">
        <f>IF(J38&lt;&gt;0,J46/J38,0)</f>
        <v/>
      </c>
      <c r="K47" s="57">
        <f>IF(K38&lt;&gt;0,K46/K38,0)</f>
        <v/>
      </c>
      <c r="L47" s="57">
        <f>IF(L38&lt;&gt;0,L46/L38,0)</f>
        <v/>
      </c>
      <c r="M47" s="57">
        <f>IF(M38&lt;&gt;0,M46/M38,0)</f>
        <v/>
      </c>
      <c r="N47" s="57">
        <f>IF(N38&lt;&gt;0,N46/N38,0)</f>
        <v/>
      </c>
      <c r="O47" s="58">
        <f>AVERAGE(C47:N47)</f>
        <v/>
      </c>
    </row>
    <row r="50">
      <c r="B50" s="40" t="inlineStr">
        <is>
          <t>══ CENÁRIO OTIMISTA ══  (O)</t>
        </is>
      </c>
    </row>
    <row r="51">
      <c r="B51" s="3" t="inlineStr">
        <is>
          <t>VOLUME (unidades)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5" t="n"/>
    </row>
    <row r="52">
      <c r="B52" s="6" t="inlineStr">
        <is>
          <t>Segmento</t>
        </is>
      </c>
      <c r="C52" s="6" t="inlineStr">
        <is>
          <t>Jan</t>
        </is>
      </c>
      <c r="D52" s="6" t="inlineStr">
        <is>
          <t>Fev</t>
        </is>
      </c>
      <c r="E52" s="6" t="inlineStr">
        <is>
          <t>Mar</t>
        </is>
      </c>
      <c r="F52" s="6" t="inlineStr">
        <is>
          <t>Abr</t>
        </is>
      </c>
      <c r="G52" s="6" t="inlineStr">
        <is>
          <t>Mai</t>
        </is>
      </c>
      <c r="H52" s="6" t="inlineStr">
        <is>
          <t>Jun</t>
        </is>
      </c>
      <c r="I52" s="6" t="inlineStr">
        <is>
          <t>Jul</t>
        </is>
      </c>
      <c r="J52" s="6" t="inlineStr">
        <is>
          <t>Ago</t>
        </is>
      </c>
      <c r="K52" s="6" t="inlineStr">
        <is>
          <t>Set</t>
        </is>
      </c>
      <c r="L52" s="6" t="inlineStr">
        <is>
          <t>Out</t>
        </is>
      </c>
      <c r="M52" s="6" t="inlineStr">
        <is>
          <t>Nov</t>
        </is>
      </c>
      <c r="N52" s="6" t="inlineStr">
        <is>
          <t>Dez</t>
        </is>
      </c>
      <c r="O52" s="6" t="inlineStr">
        <is>
          <t>TOTAL ANO</t>
        </is>
      </c>
    </row>
    <row r="53">
      <c r="B53" s="23" t="inlineStr">
        <is>
          <t xml:space="preserve">  Alta (7 lojas)</t>
        </is>
      </c>
      <c r="C53" s="41">
        <f>ROUND(PREMISSAS!C22*PREMISSAS!D22*PREMISSAS!H22*26*PREMISSAS!C29,0)</f>
        <v/>
      </c>
      <c r="D53" s="41">
        <f>ROUND(PREMISSAS!C22*PREMISSAS!D22*PREMISSAS!H22*26*PREMISSAS!D29,0)</f>
        <v/>
      </c>
      <c r="E53" s="41">
        <f>ROUND(PREMISSAS!C22*PREMISSAS!D22*PREMISSAS!H22*26*PREMISSAS!E29,0)</f>
        <v/>
      </c>
      <c r="F53" s="41">
        <f>ROUND(PREMISSAS!C22*PREMISSAS!D22*PREMISSAS!H22*26*PREMISSAS!F29,0)</f>
        <v/>
      </c>
      <c r="G53" s="41">
        <f>ROUND(PREMISSAS!C22*PREMISSAS!D22*PREMISSAS!H22*26*PREMISSAS!G29,0)</f>
        <v/>
      </c>
      <c r="H53" s="41">
        <f>ROUND(PREMISSAS!C22*PREMISSAS!D22*PREMISSAS!H22*26*PREMISSAS!H29,0)</f>
        <v/>
      </c>
      <c r="I53" s="41">
        <f>ROUND(PREMISSAS!C22*PREMISSAS!D22*PREMISSAS!H22*26*PREMISSAS!I29,0)</f>
        <v/>
      </c>
      <c r="J53" s="41">
        <f>ROUND(PREMISSAS!C22*PREMISSAS!D22*PREMISSAS!H22*26*PREMISSAS!J29,0)</f>
        <v/>
      </c>
      <c r="K53" s="41">
        <f>ROUND(PREMISSAS!C22*PREMISSAS!D22*PREMISSAS!H22*26*PREMISSAS!K29,0)</f>
        <v/>
      </c>
      <c r="L53" s="41">
        <f>ROUND(PREMISSAS!C22*PREMISSAS!D22*PREMISSAS!H22*26*PREMISSAS!L29,0)</f>
        <v/>
      </c>
      <c r="M53" s="41">
        <f>ROUND(PREMISSAS!C22*PREMISSAS!D22*PREMISSAS!H22*26*PREMISSAS!M29,0)</f>
        <v/>
      </c>
      <c r="N53" s="41">
        <f>ROUND(PREMISSAS!C22*PREMISSAS!D22*PREMISSAS!H22*26*PREMISSAS!N29,0)</f>
        <v/>
      </c>
      <c r="O53" s="42">
        <f>SUM(C53:N53)</f>
        <v/>
      </c>
    </row>
    <row r="54">
      <c r="B54" s="26" t="inlineStr">
        <is>
          <t xml:space="preserve">  Média (306 lojas)</t>
        </is>
      </c>
      <c r="C54" s="43">
        <f>ROUND(PREMISSAS!C23*PREMISSAS!D23*PREMISSAS!H23*26*PREMISSAS!C29,0)</f>
        <v/>
      </c>
      <c r="D54" s="43">
        <f>ROUND(PREMISSAS!C23*PREMISSAS!D23*PREMISSAS!H23*26*PREMISSAS!D29,0)</f>
        <v/>
      </c>
      <c r="E54" s="43">
        <f>ROUND(PREMISSAS!C23*PREMISSAS!D23*PREMISSAS!H23*26*PREMISSAS!E29,0)</f>
        <v/>
      </c>
      <c r="F54" s="43">
        <f>ROUND(PREMISSAS!C23*PREMISSAS!D23*PREMISSAS!H23*26*PREMISSAS!F29,0)</f>
        <v/>
      </c>
      <c r="G54" s="43">
        <f>ROUND(PREMISSAS!C23*PREMISSAS!D23*PREMISSAS!H23*26*PREMISSAS!G29,0)</f>
        <v/>
      </c>
      <c r="H54" s="43">
        <f>ROUND(PREMISSAS!C23*PREMISSAS!D23*PREMISSAS!H23*26*PREMISSAS!H29,0)</f>
        <v/>
      </c>
      <c r="I54" s="43">
        <f>ROUND(PREMISSAS!C23*PREMISSAS!D23*PREMISSAS!H23*26*PREMISSAS!I29,0)</f>
        <v/>
      </c>
      <c r="J54" s="43">
        <f>ROUND(PREMISSAS!C23*PREMISSAS!D23*PREMISSAS!H23*26*PREMISSAS!J29,0)</f>
        <v/>
      </c>
      <c r="K54" s="43">
        <f>ROUND(PREMISSAS!C23*PREMISSAS!D23*PREMISSAS!H23*26*PREMISSAS!K29,0)</f>
        <v/>
      </c>
      <c r="L54" s="43">
        <f>ROUND(PREMISSAS!C23*PREMISSAS!D23*PREMISSAS!H23*26*PREMISSAS!L29,0)</f>
        <v/>
      </c>
      <c r="M54" s="43">
        <f>ROUND(PREMISSAS!C23*PREMISSAS!D23*PREMISSAS!H23*26*PREMISSAS!M29,0)</f>
        <v/>
      </c>
      <c r="N54" s="43">
        <f>ROUND(PREMISSAS!C23*PREMISSAS!D23*PREMISSAS!H23*26*PREMISSAS!N29,0)</f>
        <v/>
      </c>
      <c r="O54" s="44">
        <f>SUM(C54:N54)</f>
        <v/>
      </c>
    </row>
    <row r="55">
      <c r="B55" s="28" t="inlineStr">
        <is>
          <t xml:space="preserve">  Baixa (487 lojas)</t>
        </is>
      </c>
      <c r="C55" s="45">
        <f>ROUND(PREMISSAS!C24*PREMISSAS!D24*PREMISSAS!H24*26*PREMISSAS!C29,0)</f>
        <v/>
      </c>
      <c r="D55" s="45">
        <f>ROUND(PREMISSAS!C24*PREMISSAS!D24*PREMISSAS!H24*26*PREMISSAS!D29,0)</f>
        <v/>
      </c>
      <c r="E55" s="45">
        <f>ROUND(PREMISSAS!C24*PREMISSAS!D24*PREMISSAS!H24*26*PREMISSAS!E29,0)</f>
        <v/>
      </c>
      <c r="F55" s="45">
        <f>ROUND(PREMISSAS!C24*PREMISSAS!D24*PREMISSAS!H24*26*PREMISSAS!F29,0)</f>
        <v/>
      </c>
      <c r="G55" s="45">
        <f>ROUND(PREMISSAS!C24*PREMISSAS!D24*PREMISSAS!H24*26*PREMISSAS!G29,0)</f>
        <v/>
      </c>
      <c r="H55" s="45">
        <f>ROUND(PREMISSAS!C24*PREMISSAS!D24*PREMISSAS!H24*26*PREMISSAS!H29,0)</f>
        <v/>
      </c>
      <c r="I55" s="45">
        <f>ROUND(PREMISSAS!C24*PREMISSAS!D24*PREMISSAS!H24*26*PREMISSAS!I29,0)</f>
        <v/>
      </c>
      <c r="J55" s="45">
        <f>ROUND(PREMISSAS!C24*PREMISSAS!D24*PREMISSAS!H24*26*PREMISSAS!J29,0)</f>
        <v/>
      </c>
      <c r="K55" s="45">
        <f>ROUND(PREMISSAS!C24*PREMISSAS!D24*PREMISSAS!H24*26*PREMISSAS!K29,0)</f>
        <v/>
      </c>
      <c r="L55" s="45">
        <f>ROUND(PREMISSAS!C24*PREMISSAS!D24*PREMISSAS!H24*26*PREMISSAS!L29,0)</f>
        <v/>
      </c>
      <c r="M55" s="45">
        <f>ROUND(PREMISSAS!C24*PREMISSAS!D24*PREMISSAS!H24*26*PREMISSAS!M29,0)</f>
        <v/>
      </c>
      <c r="N55" s="45">
        <f>ROUND(PREMISSAS!C24*PREMISSAS!D24*PREMISSAS!H24*26*PREMISSAS!N29,0)</f>
        <v/>
      </c>
      <c r="O55" s="46">
        <f>SUM(C55:N55)</f>
        <v/>
      </c>
    </row>
    <row r="56">
      <c r="B56" s="30" t="inlineStr">
        <is>
          <t>TOTAL REDE (un)</t>
        </is>
      </c>
      <c r="C56" s="31">
        <f>C53+C54+C55</f>
        <v/>
      </c>
      <c r="D56" s="31">
        <f>D53+D54+D55</f>
        <v/>
      </c>
      <c r="E56" s="31">
        <f>E53+E54+E55</f>
        <v/>
      </c>
      <c r="F56" s="31">
        <f>F53+F54+F55</f>
        <v/>
      </c>
      <c r="G56" s="31">
        <f>G53+G54+G55</f>
        <v/>
      </c>
      <c r="H56" s="31">
        <f>H53+H54+H55</f>
        <v/>
      </c>
      <c r="I56" s="31">
        <f>I53+I54+I55</f>
        <v/>
      </c>
      <c r="J56" s="31">
        <f>J53+J54+J55</f>
        <v/>
      </c>
      <c r="K56" s="31">
        <f>K53+K54+K55</f>
        <v/>
      </c>
      <c r="L56" s="31">
        <f>L53+L54+L55</f>
        <v/>
      </c>
      <c r="M56" s="31">
        <f>M53+M54+M55</f>
        <v/>
      </c>
      <c r="N56" s="31">
        <f>N53+N54+N55</f>
        <v/>
      </c>
      <c r="O56" s="47">
        <f>SUM(C56:N56)</f>
        <v/>
      </c>
    </row>
    <row r="57">
      <c r="B57" s="39" t="inlineStr">
        <is>
          <t xml:space="preserve">   ↳ Un/loja/dia (média rede)</t>
        </is>
      </c>
      <c r="C57" s="48">
        <f>ROUND(C56/800/26,1)</f>
        <v/>
      </c>
      <c r="D57" s="48">
        <f>ROUND(D56/800/26,1)</f>
        <v/>
      </c>
      <c r="E57" s="48">
        <f>ROUND(E56/800/26,1)</f>
        <v/>
      </c>
      <c r="F57" s="48">
        <f>ROUND(F56/800/26,1)</f>
        <v/>
      </c>
      <c r="G57" s="48">
        <f>ROUND(G56/800/26,1)</f>
        <v/>
      </c>
      <c r="H57" s="48">
        <f>ROUND(H56/800/26,1)</f>
        <v/>
      </c>
      <c r="I57" s="48">
        <f>ROUND(I56/800/26,1)</f>
        <v/>
      </c>
      <c r="J57" s="48">
        <f>ROUND(J56/800/26,1)</f>
        <v/>
      </c>
      <c r="K57" s="48">
        <f>ROUND(K56/800/26,1)</f>
        <v/>
      </c>
      <c r="L57" s="48">
        <f>ROUND(L56/800/26,1)</f>
        <v/>
      </c>
      <c r="M57" s="48">
        <f>ROUND(M56/800/26,1)</f>
        <v/>
      </c>
      <c r="N57" s="48">
        <f>ROUND(N56/800/26,1)</f>
        <v/>
      </c>
      <c r="O57" s="49">
        <f>ROUND(O56/800/12/26,1)</f>
        <v/>
      </c>
    </row>
    <row r="58">
      <c r="B58" s="3" t="inlineStr">
        <is>
          <t>DRE — REDE COMPLETA (R$)</t>
        </is>
      </c>
    </row>
    <row r="59">
      <c r="B59" s="6" t="inlineStr">
        <is>
          <t>Linha DRE</t>
        </is>
      </c>
      <c r="C59" s="6" t="inlineStr">
        <is>
          <t>Jan</t>
        </is>
      </c>
      <c r="D59" s="6" t="inlineStr">
        <is>
          <t>Fev</t>
        </is>
      </c>
      <c r="E59" s="6" t="inlineStr">
        <is>
          <t>Mar</t>
        </is>
      </c>
      <c r="F59" s="6" t="inlineStr">
        <is>
          <t>Abr</t>
        </is>
      </c>
      <c r="G59" s="6" t="inlineStr">
        <is>
          <t>Mai</t>
        </is>
      </c>
      <c r="H59" s="6" t="inlineStr">
        <is>
          <t>Jun</t>
        </is>
      </c>
      <c r="I59" s="6" t="inlineStr">
        <is>
          <t>Jul</t>
        </is>
      </c>
      <c r="J59" s="6" t="inlineStr">
        <is>
          <t>Ago</t>
        </is>
      </c>
      <c r="K59" s="6" t="inlineStr">
        <is>
          <t>Set</t>
        </is>
      </c>
      <c r="L59" s="6" t="inlineStr">
        <is>
          <t>Out</t>
        </is>
      </c>
      <c r="M59" s="6" t="inlineStr">
        <is>
          <t>Nov</t>
        </is>
      </c>
      <c r="N59" s="6" t="inlineStr">
        <is>
          <t>Dez</t>
        </is>
      </c>
      <c r="O59" s="6" t="inlineStr">
        <is>
          <t>TOTAL ANO</t>
        </is>
      </c>
    </row>
    <row r="60">
      <c r="B60" s="7" t="inlineStr">
        <is>
          <t>Receita Bruta</t>
        </is>
      </c>
      <c r="C60" s="50">
        <f>C56*PREMISSAS!C6</f>
        <v/>
      </c>
      <c r="D60" s="50">
        <f>D56*PREMISSAS!C6</f>
        <v/>
      </c>
      <c r="E60" s="50">
        <f>E56*PREMISSAS!C6</f>
        <v/>
      </c>
      <c r="F60" s="50">
        <f>F56*PREMISSAS!C6</f>
        <v/>
      </c>
      <c r="G60" s="50">
        <f>G56*PREMISSAS!C6</f>
        <v/>
      </c>
      <c r="H60" s="50">
        <f>H56*PREMISSAS!C6</f>
        <v/>
      </c>
      <c r="I60" s="50">
        <f>I56*PREMISSAS!C6</f>
        <v/>
      </c>
      <c r="J60" s="50">
        <f>J56*PREMISSAS!C6</f>
        <v/>
      </c>
      <c r="K60" s="50">
        <f>K56*PREMISSAS!C6</f>
        <v/>
      </c>
      <c r="L60" s="50">
        <f>L56*PREMISSAS!C6</f>
        <v/>
      </c>
      <c r="M60" s="50">
        <f>M56*PREMISSAS!C6</f>
        <v/>
      </c>
      <c r="N60" s="50">
        <f>N56*PREMISSAS!C6</f>
        <v/>
      </c>
      <c r="O60" s="51">
        <f>SUM(C60:N60)</f>
        <v/>
      </c>
    </row>
    <row r="61">
      <c r="B61" s="13" t="inlineStr">
        <is>
          <t>(-) Impostos (10.7%)</t>
        </is>
      </c>
      <c r="C61" s="52">
        <f>-C56*PREMISSAS!C6*PREMISSAS!C7</f>
        <v/>
      </c>
      <c r="D61" s="52">
        <f>-D56*PREMISSAS!C6*PREMISSAS!C7</f>
        <v/>
      </c>
      <c r="E61" s="52">
        <f>-E56*PREMISSAS!C6*PREMISSAS!C7</f>
        <v/>
      </c>
      <c r="F61" s="52">
        <f>-F56*PREMISSAS!C6*PREMISSAS!C7</f>
        <v/>
      </c>
      <c r="G61" s="52">
        <f>-G56*PREMISSAS!C6*PREMISSAS!C7</f>
        <v/>
      </c>
      <c r="H61" s="52">
        <f>-H56*PREMISSAS!C6*PREMISSAS!C7</f>
        <v/>
      </c>
      <c r="I61" s="52">
        <f>-I56*PREMISSAS!C6*PREMISSAS!C7</f>
        <v/>
      </c>
      <c r="J61" s="52">
        <f>-J56*PREMISSAS!C6*PREMISSAS!C7</f>
        <v/>
      </c>
      <c r="K61" s="52">
        <f>-K56*PREMISSAS!C6*PREMISSAS!C7</f>
        <v/>
      </c>
      <c r="L61" s="52">
        <f>-L56*PREMISSAS!C6*PREMISSAS!C7</f>
        <v/>
      </c>
      <c r="M61" s="52">
        <f>-M56*PREMISSAS!C6*PREMISSAS!C7</f>
        <v/>
      </c>
      <c r="N61" s="52">
        <f>-N56*PREMISSAS!C6*PREMISSAS!C7</f>
        <v/>
      </c>
      <c r="O61" s="53">
        <f>SUM(C61:N61)</f>
        <v/>
      </c>
    </row>
    <row r="62">
      <c r="B62" s="15" t="inlineStr">
        <is>
          <t>Receita Líquida (NNS)</t>
        </is>
      </c>
      <c r="C62" s="54">
        <f>C60+C61</f>
        <v/>
      </c>
      <c r="D62" s="54">
        <f>D60+D61</f>
        <v/>
      </c>
      <c r="E62" s="54">
        <f>E60+E61</f>
        <v/>
      </c>
      <c r="F62" s="54">
        <f>F60+F61</f>
        <v/>
      </c>
      <c r="G62" s="54">
        <f>G60+G61</f>
        <v/>
      </c>
      <c r="H62" s="54">
        <f>H60+H61</f>
        <v/>
      </c>
      <c r="I62" s="54">
        <f>I60+I61</f>
        <v/>
      </c>
      <c r="J62" s="54">
        <f>J60+J61</f>
        <v/>
      </c>
      <c r="K62" s="54">
        <f>K60+K61</f>
        <v/>
      </c>
      <c r="L62" s="54">
        <f>L60+L61</f>
        <v/>
      </c>
      <c r="M62" s="54">
        <f>M60+M61</f>
        <v/>
      </c>
      <c r="N62" s="54">
        <f>N60+N61</f>
        <v/>
      </c>
      <c r="O62" s="62">
        <f>SUM(C62:N62)</f>
        <v/>
      </c>
    </row>
    <row r="63">
      <c r="B63" s="13" t="inlineStr">
        <is>
          <t>(-) COGS (insumos + ICMS ST)</t>
        </is>
      </c>
      <c r="C63" s="52">
        <f>-C56*(PREMISSAS!C8+PREMISSAS!C9)</f>
        <v/>
      </c>
      <c r="D63" s="52">
        <f>-D56*(PREMISSAS!C8+PREMISSAS!C9)</f>
        <v/>
      </c>
      <c r="E63" s="52">
        <f>-E56*(PREMISSAS!C8+PREMISSAS!C9)</f>
        <v/>
      </c>
      <c r="F63" s="52">
        <f>-F56*(PREMISSAS!C8+PREMISSAS!C9)</f>
        <v/>
      </c>
      <c r="G63" s="52">
        <f>-G56*(PREMISSAS!C8+PREMISSAS!C9)</f>
        <v/>
      </c>
      <c r="H63" s="52">
        <f>-H56*(PREMISSAS!C8+PREMISSAS!C9)</f>
        <v/>
      </c>
      <c r="I63" s="52">
        <f>-I56*(PREMISSAS!C8+PREMISSAS!C9)</f>
        <v/>
      </c>
      <c r="J63" s="52">
        <f>-J56*(PREMISSAS!C8+PREMISSAS!C9)</f>
        <v/>
      </c>
      <c r="K63" s="52">
        <f>-K56*(PREMISSAS!C8+PREMISSAS!C9)</f>
        <v/>
      </c>
      <c r="L63" s="52">
        <f>-L56*(PREMISSAS!C8+PREMISSAS!C9)</f>
        <v/>
      </c>
      <c r="M63" s="52">
        <f>-M56*(PREMISSAS!C8+PREMISSAS!C9)</f>
        <v/>
      </c>
      <c r="N63" s="52">
        <f>-N56*(PREMISSAS!C8+PREMISSAS!C9)</f>
        <v/>
      </c>
      <c r="O63" s="53">
        <f>SUM(C63:N63)</f>
        <v/>
      </c>
    </row>
    <row r="64">
      <c r="B64" s="15" t="inlineStr">
        <is>
          <t>MARGEM DE CONTRIBUIÇÃO (CMC)</t>
        </is>
      </c>
      <c r="C64" s="54">
        <f>C62+C63</f>
        <v/>
      </c>
      <c r="D64" s="54">
        <f>D62+D63</f>
        <v/>
      </c>
      <c r="E64" s="54">
        <f>E62+E63</f>
        <v/>
      </c>
      <c r="F64" s="54">
        <f>F62+F63</f>
        <v/>
      </c>
      <c r="G64" s="54">
        <f>G62+G63</f>
        <v/>
      </c>
      <c r="H64" s="54">
        <f>H62+H63</f>
        <v/>
      </c>
      <c r="I64" s="54">
        <f>I62+I63</f>
        <v/>
      </c>
      <c r="J64" s="54">
        <f>J62+J63</f>
        <v/>
      </c>
      <c r="K64" s="54">
        <f>K62+K63</f>
        <v/>
      </c>
      <c r="L64" s="54">
        <f>L62+L63</f>
        <v/>
      </c>
      <c r="M64" s="54">
        <f>M62+M63</f>
        <v/>
      </c>
      <c r="N64" s="54">
        <f>N62+N63</f>
        <v/>
      </c>
      <c r="O64" s="62">
        <f>SUM(C64:N64)</f>
        <v/>
      </c>
    </row>
    <row r="65">
      <c r="B65" s="56" t="inlineStr">
        <is>
          <t>CMC % (vs Receita Bruta)</t>
        </is>
      </c>
      <c r="C65" s="57">
        <f>IF(C60&lt;&gt;0,C64/C60,0)</f>
        <v/>
      </c>
      <c r="D65" s="57">
        <f>IF(D60&lt;&gt;0,D64/D60,0)</f>
        <v/>
      </c>
      <c r="E65" s="57">
        <f>IF(E60&lt;&gt;0,E64/E60,0)</f>
        <v/>
      </c>
      <c r="F65" s="57">
        <f>IF(F60&lt;&gt;0,F64/F60,0)</f>
        <v/>
      </c>
      <c r="G65" s="57">
        <f>IF(G60&lt;&gt;0,G64/G60,0)</f>
        <v/>
      </c>
      <c r="H65" s="57">
        <f>IF(H60&lt;&gt;0,H64/H60,0)</f>
        <v/>
      </c>
      <c r="I65" s="57">
        <f>IF(I60&lt;&gt;0,I64/I60,0)</f>
        <v/>
      </c>
      <c r="J65" s="57">
        <f>IF(J60&lt;&gt;0,J64/J60,0)</f>
        <v/>
      </c>
      <c r="K65" s="57">
        <f>IF(K60&lt;&gt;0,K64/K60,0)</f>
        <v/>
      </c>
      <c r="L65" s="57">
        <f>IF(L60&lt;&gt;0,L64/L60,0)</f>
        <v/>
      </c>
      <c r="M65" s="57">
        <f>IF(M60&lt;&gt;0,M64/M60,0)</f>
        <v/>
      </c>
      <c r="N65" s="57">
        <f>IF(N60&lt;&gt;0,N64/N60,0)</f>
        <v/>
      </c>
      <c r="O65" s="58">
        <f>AVERAGE(C65:N65)</f>
        <v/>
      </c>
    </row>
    <row r="66">
      <c r="B66" s="13" t="inlineStr">
        <is>
          <t>(-) Marketing Recorrente</t>
        </is>
      </c>
      <c r="C66" s="52">
        <f>-PREMISSAS!C40</f>
        <v/>
      </c>
      <c r="D66" s="52">
        <f>-PREMISSAS!C40</f>
        <v/>
      </c>
      <c r="E66" s="52">
        <f>-PREMISSAS!C40</f>
        <v/>
      </c>
      <c r="F66" s="52">
        <f>-PREMISSAS!C40</f>
        <v/>
      </c>
      <c r="G66" s="52">
        <f>-PREMISSAS!C40</f>
        <v/>
      </c>
      <c r="H66" s="52">
        <f>-PREMISSAS!C40</f>
        <v/>
      </c>
      <c r="I66" s="52">
        <f>-PREMISSAS!C40</f>
        <v/>
      </c>
      <c r="J66" s="52">
        <f>-PREMISSAS!C40</f>
        <v/>
      </c>
      <c r="K66" s="52">
        <f>-PREMISSAS!C40</f>
        <v/>
      </c>
      <c r="L66" s="52">
        <f>-PREMISSAS!C40</f>
        <v/>
      </c>
      <c r="M66" s="52">
        <f>-PREMISSAS!C40</f>
        <v/>
      </c>
      <c r="N66" s="52">
        <f>-PREMISSAS!C40</f>
        <v/>
      </c>
      <c r="O66" s="53">
        <f>SUM(C66:N66)</f>
        <v/>
      </c>
    </row>
    <row r="67">
      <c r="B67" s="13" t="inlineStr">
        <is>
          <t>(-) Invest. Lançamento (mês 1)</t>
        </is>
      </c>
      <c r="C67" s="52">
        <f>IF(1=1,-PREMISSAS!C41,0)</f>
        <v/>
      </c>
      <c r="D67" s="52">
        <f>IF(2=1,-PREMISSAS!C41,0)</f>
        <v/>
      </c>
      <c r="E67" s="52">
        <f>IF(3=1,-PREMISSAS!C41,0)</f>
        <v/>
      </c>
      <c r="F67" s="52">
        <f>IF(4=1,-PREMISSAS!C41,0)</f>
        <v/>
      </c>
      <c r="G67" s="52">
        <f>IF(5=1,-PREMISSAS!C41,0)</f>
        <v/>
      </c>
      <c r="H67" s="52">
        <f>IF(6=1,-PREMISSAS!C41,0)</f>
        <v/>
      </c>
      <c r="I67" s="52">
        <f>IF(7=1,-PREMISSAS!C41,0)</f>
        <v/>
      </c>
      <c r="J67" s="52">
        <f>IF(8=1,-PREMISSAS!C41,0)</f>
        <v/>
      </c>
      <c r="K67" s="52">
        <f>IF(9=1,-PREMISSAS!C41,0)</f>
        <v/>
      </c>
      <c r="L67" s="52">
        <f>IF(10=1,-PREMISSAS!C41,0)</f>
        <v/>
      </c>
      <c r="M67" s="52">
        <f>IF(11=1,-PREMISSAS!C41,0)</f>
        <v/>
      </c>
      <c r="N67" s="52">
        <f>IF(12=1,-PREMISSAS!C41,0)</f>
        <v/>
      </c>
      <c r="O67" s="53">
        <f>SUM(C67:N67)</f>
        <v/>
      </c>
    </row>
    <row r="68">
      <c r="B68" s="63" t="inlineStr">
        <is>
          <t>EBITDA</t>
        </is>
      </c>
      <c r="C68" s="64">
        <f>C64+C66+C67</f>
        <v/>
      </c>
      <c r="D68" s="64">
        <f>D64+D66+D67</f>
        <v/>
      </c>
      <c r="E68" s="64">
        <f>E64+E66+E67</f>
        <v/>
      </c>
      <c r="F68" s="64">
        <f>F64+F66+F67</f>
        <v/>
      </c>
      <c r="G68" s="64">
        <f>G64+G66+G67</f>
        <v/>
      </c>
      <c r="H68" s="64">
        <f>H64+H66+H67</f>
        <v/>
      </c>
      <c r="I68" s="64">
        <f>I64+I66+I67</f>
        <v/>
      </c>
      <c r="J68" s="64">
        <f>J64+J66+J67</f>
        <v/>
      </c>
      <c r="K68" s="64">
        <f>K64+K66+K67</f>
        <v/>
      </c>
      <c r="L68" s="64">
        <f>L64+L66+L67</f>
        <v/>
      </c>
      <c r="M68" s="64">
        <f>M64+M66+M67</f>
        <v/>
      </c>
      <c r="N68" s="64">
        <f>N64+N66+N67</f>
        <v/>
      </c>
      <c r="O68" s="62">
        <f>SUM(C68:N68)</f>
        <v/>
      </c>
    </row>
    <row r="69">
      <c r="B69" s="56" t="inlineStr">
        <is>
          <t>EBITDA % (vs Rec. Bruta)</t>
        </is>
      </c>
      <c r="C69" s="57">
        <f>IF(C60&lt;&gt;0,C68/C60,0)</f>
        <v/>
      </c>
      <c r="D69" s="57">
        <f>IF(D60&lt;&gt;0,D68/D60,0)</f>
        <v/>
      </c>
      <c r="E69" s="57">
        <f>IF(E60&lt;&gt;0,E68/E60,0)</f>
        <v/>
      </c>
      <c r="F69" s="57">
        <f>IF(F60&lt;&gt;0,F68/F60,0)</f>
        <v/>
      </c>
      <c r="G69" s="57">
        <f>IF(G60&lt;&gt;0,G68/G60,0)</f>
        <v/>
      </c>
      <c r="H69" s="57">
        <f>IF(H60&lt;&gt;0,H68/H60,0)</f>
        <v/>
      </c>
      <c r="I69" s="57">
        <f>IF(I60&lt;&gt;0,I68/I60,0)</f>
        <v/>
      </c>
      <c r="J69" s="57">
        <f>IF(J60&lt;&gt;0,J68/J60,0)</f>
        <v/>
      </c>
      <c r="K69" s="57">
        <f>IF(K60&lt;&gt;0,K68/K60,0)</f>
        <v/>
      </c>
      <c r="L69" s="57">
        <f>IF(L60&lt;&gt;0,L68/L60,0)</f>
        <v/>
      </c>
      <c r="M69" s="57">
        <f>IF(M60&lt;&gt;0,M68/M60,0)</f>
        <v/>
      </c>
      <c r="N69" s="57">
        <f>IF(N60&lt;&gt;0,N68/N60,0)</f>
        <v/>
      </c>
      <c r="O69" s="58">
        <f>AVERAGE(C69:N69)</f>
        <v/>
      </c>
    </row>
  </sheetData>
  <mergeCells count="16">
    <mergeCell ref="B58:O58"/>
    <mergeCell ref="B1:O1"/>
    <mergeCell ref="B14:O14"/>
    <mergeCell ref="B6:O6"/>
    <mergeCell ref="B51:BL51"/>
    <mergeCell ref="B2:O2"/>
    <mergeCell ref="B29:O29"/>
    <mergeCell ref="B7:O7"/>
    <mergeCell ref="B50:O50"/>
    <mergeCell ref="E4:G4"/>
    <mergeCell ref="B51:O51"/>
    <mergeCell ref="B28:O28"/>
    <mergeCell ref="B36:O36"/>
    <mergeCell ref="B4:C4"/>
    <mergeCell ref="B29:AP29"/>
    <mergeCell ref="B7:T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2" customWidth="1" min="5" max="5"/>
  </cols>
  <sheetData>
    <row r="1">
      <c r="B1" s="1" t="inlineStr">
        <is>
          <t>TIRAMIWAFER — PONTO DE EQUILÍBRIO (com fórmulas)</t>
        </is>
      </c>
    </row>
    <row r="3">
      <c r="B3" s="6" t="inlineStr">
        <is>
          <t>Indicador</t>
        </is>
      </c>
      <c r="C3" s="6" t="inlineStr">
        <is>
          <t>Fórmula</t>
        </is>
      </c>
      <c r="D3" s="6" t="inlineStr">
        <is>
          <t>Valor Calculado</t>
        </is>
      </c>
      <c r="E3" s="6" t="inlineStr">
        <is>
          <t>Referência</t>
        </is>
      </c>
    </row>
    <row r="4">
      <c r="B4" s="7" t="inlineStr">
        <is>
          <t>CMC por Unidade (R$)</t>
        </is>
      </c>
      <c r="C4" s="65">
        <f>PREMISSAS!C14</f>
        <v/>
      </c>
      <c r="D4" s="12">
        <f>PREMISSAS!C14</f>
        <v/>
      </c>
      <c r="E4" s="65" t="inlineStr">
        <is>
          <t>Calc. em PREMISSAS</t>
        </is>
      </c>
    </row>
    <row r="5">
      <c r="B5" s="13" t="inlineStr">
        <is>
          <t>Investimento Total (R$)</t>
        </is>
      </c>
      <c r="C5" s="66">
        <f>PREMISSAS!C41</f>
        <v/>
      </c>
      <c r="D5" s="67">
        <f>PREMISSAS!C41</f>
        <v/>
      </c>
      <c r="E5" s="66" t="inlineStr">
        <is>
          <t>Calc. em PREMISSAS</t>
        </is>
      </c>
    </row>
    <row r="6">
      <c r="B6" s="15" t="inlineStr">
        <is>
          <t>PE — Unidades Rede Total</t>
        </is>
      </c>
      <c r="C6" s="68" t="inlineStr">
        <is>
          <t>ver fórmula na célula</t>
        </is>
      </c>
      <c r="D6" s="69">
        <f>ROUND(PREMISSAS!C41/PREMISSAS!C14,0)</f>
        <v/>
      </c>
      <c r="E6" s="68" t="inlineStr">
        <is>
          <t>Invest ÷ CMC/un</t>
        </is>
      </c>
    </row>
    <row r="7">
      <c r="B7" s="15" t="inlineStr">
        <is>
          <t>PE — Unidades por Loja (÷800)</t>
        </is>
      </c>
      <c r="C7" s="68" t="inlineStr">
        <is>
          <t>ver fórmula na célula</t>
        </is>
      </c>
      <c r="D7" s="69">
        <f>ROUND(PREMISSAS!C41/PREMISSAS!C14/800,0)</f>
        <v/>
      </c>
      <c r="E7" s="68" t="inlineStr">
        <is>
          <t>PE total ÷ 800 lojas</t>
        </is>
      </c>
    </row>
    <row r="10">
      <c r="B10" s="3" t="inlineStr">
        <is>
          <t>RECUPERAÇÃO ACUMULADA DO INVESTIMENTO (Cenário Realista)</t>
        </is>
      </c>
    </row>
    <row r="11">
      <c r="B11" s="6" t="inlineStr">
        <is>
          <t>Mês</t>
        </is>
      </c>
      <c r="C11" s="6" t="inlineStr">
        <is>
          <t>Vol. Rede (un)</t>
        </is>
      </c>
      <c r="D11" s="6" t="inlineStr">
        <is>
          <t>CMC Mensal (R$)</t>
        </is>
      </c>
      <c r="E11" s="6" t="inlineStr">
        <is>
          <t>CMC Acumulado (R$)</t>
        </is>
      </c>
      <c r="F11" s="6" t="inlineStr">
        <is>
          <t>% Recuperado</t>
        </is>
      </c>
    </row>
    <row r="12">
      <c r="B12" s="7" t="inlineStr">
        <is>
          <t>Jan</t>
        </is>
      </c>
      <c r="C12" s="65">
        <f>IFERROR('PROJEÇÃO 12M'!C&amp;"ver planilha",0)</f>
        <v/>
      </c>
      <c r="D12" s="65" t="inlineStr"/>
      <c r="E12" s="65" t="inlineStr"/>
      <c r="F12" s="65" t="inlineStr"/>
    </row>
    <row r="13">
      <c r="B13" s="13" t="inlineStr">
        <is>
          <t>Fev</t>
        </is>
      </c>
      <c r="C13" s="66">
        <f>IFERROR('PROJEÇÃO 12M'!D&amp;"ver planilha",0)</f>
        <v/>
      </c>
      <c r="D13" s="66" t="inlineStr"/>
      <c r="E13" s="66" t="inlineStr"/>
      <c r="F13" s="66" t="inlineStr"/>
    </row>
    <row r="14">
      <c r="B14" s="7" t="inlineStr">
        <is>
          <t>Mar</t>
        </is>
      </c>
      <c r="C14" s="65">
        <f>IFERROR('PROJEÇÃO 12M'!E&amp;"ver planilha",0)</f>
        <v/>
      </c>
      <c r="D14" s="65" t="inlineStr"/>
      <c r="E14" s="65" t="inlineStr"/>
      <c r="F14" s="65" t="inlineStr"/>
    </row>
    <row r="15">
      <c r="B15" s="13" t="inlineStr">
        <is>
          <t>Abr</t>
        </is>
      </c>
      <c r="C15" s="66">
        <f>IFERROR('PROJEÇÃO 12M'!F&amp;"ver planilha",0)</f>
        <v/>
      </c>
      <c r="D15" s="66" t="inlineStr"/>
      <c r="E15" s="66" t="inlineStr"/>
      <c r="F15" s="66" t="inlineStr"/>
    </row>
    <row r="16">
      <c r="B16" s="7" t="inlineStr">
        <is>
          <t>Mai</t>
        </is>
      </c>
      <c r="C16" s="65">
        <f>IFERROR('PROJEÇÃO 12M'!G&amp;"ver planilha",0)</f>
        <v/>
      </c>
      <c r="D16" s="65" t="inlineStr"/>
      <c r="E16" s="65" t="inlineStr"/>
      <c r="F16" s="65" t="inlineStr"/>
    </row>
    <row r="17">
      <c r="B17" s="13" t="inlineStr">
        <is>
          <t>Jun</t>
        </is>
      </c>
      <c r="C17" s="66">
        <f>IFERROR('PROJEÇÃO 12M'!H&amp;"ver planilha",0)</f>
        <v/>
      </c>
      <c r="D17" s="66" t="inlineStr"/>
      <c r="E17" s="66" t="inlineStr"/>
      <c r="F17" s="66" t="inlineStr"/>
    </row>
    <row r="18">
      <c r="B18" s="7" t="inlineStr">
        <is>
          <t>Jul</t>
        </is>
      </c>
      <c r="C18" s="65">
        <f>IFERROR('PROJEÇÃO 12M'!I&amp;"ver planilha",0)</f>
        <v/>
      </c>
      <c r="D18" s="65" t="inlineStr"/>
      <c r="E18" s="65" t="inlineStr"/>
      <c r="F18" s="65" t="inlineStr"/>
    </row>
    <row r="19">
      <c r="B19" s="13" t="inlineStr">
        <is>
          <t>Ago</t>
        </is>
      </c>
      <c r="C19" s="66">
        <f>IFERROR('PROJEÇÃO 12M'!J&amp;"ver planilha",0)</f>
        <v/>
      </c>
      <c r="D19" s="66" t="inlineStr"/>
      <c r="E19" s="66" t="inlineStr"/>
      <c r="F19" s="66" t="inlineStr"/>
    </row>
    <row r="20">
      <c r="B20" s="7" t="inlineStr">
        <is>
          <t>Set</t>
        </is>
      </c>
      <c r="C20" s="65">
        <f>IFERROR('PROJEÇÃO 12M'!K&amp;"ver planilha",0)</f>
        <v/>
      </c>
      <c r="D20" s="65" t="inlineStr"/>
      <c r="E20" s="65" t="inlineStr"/>
      <c r="F20" s="65" t="inlineStr"/>
    </row>
    <row r="21">
      <c r="B21" s="13" t="inlineStr">
        <is>
          <t>Out</t>
        </is>
      </c>
      <c r="C21" s="66">
        <f>IFERROR('PROJEÇÃO 12M'!L&amp;"ver planilha",0)</f>
        <v/>
      </c>
      <c r="D21" s="66" t="inlineStr"/>
      <c r="E21" s="66" t="inlineStr"/>
      <c r="F21" s="66" t="inlineStr"/>
    </row>
    <row r="22">
      <c r="B22" s="7" t="inlineStr">
        <is>
          <t>Nov</t>
        </is>
      </c>
      <c r="C22" s="65">
        <f>IFERROR('PROJEÇÃO 12M'!M&amp;"ver planilha",0)</f>
        <v/>
      </c>
      <c r="D22" s="65" t="inlineStr"/>
      <c r="E22" s="65" t="inlineStr"/>
      <c r="F22" s="65" t="inlineStr"/>
    </row>
    <row r="23">
      <c r="B23" s="13" t="inlineStr">
        <is>
          <t>Dez</t>
        </is>
      </c>
      <c r="C23" s="66">
        <f>IFERROR('PROJEÇÃO 12M'!N&amp;"ver planilha",0)</f>
        <v/>
      </c>
      <c r="D23" s="66" t="inlineStr"/>
      <c r="E23" s="66" t="inlineStr"/>
      <c r="F23" s="66" t="inlineStr"/>
    </row>
  </sheetData>
  <mergeCells count="2">
    <mergeCell ref="B10:E10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B1" s="1" t="inlineStr">
        <is>
          <t>TIRAMIWAFER — CASCATA DE MARGEM UNITÁRIA (fórmulas)</t>
        </is>
      </c>
    </row>
    <row r="3">
      <c r="B3" s="6" t="inlineStr">
        <is>
          <t>Linha</t>
        </is>
      </c>
      <c r="C3" s="6" t="inlineStr">
        <is>
          <t>R$/unidade</t>
        </is>
      </c>
      <c r="D3" s="6" t="inlineStr">
        <is>
          <t>% Preço Venda</t>
        </is>
      </c>
      <c r="E3" s="6" t="inlineStr">
        <is>
          <t>% Rec. Líquida</t>
        </is>
      </c>
      <c r="F3" s="6" t="inlineStr">
        <is>
          <t>Nota</t>
        </is>
      </c>
    </row>
    <row r="4">
      <c r="B4" s="7" t="inlineStr">
        <is>
          <t>Preço de Venda</t>
        </is>
      </c>
      <c r="C4" s="12">
        <f>PREMISSAS!C6</f>
        <v/>
      </c>
      <c r="D4" s="21">
        <f>C4/PREMISSAS!C6</f>
        <v/>
      </c>
      <c r="F4" s="7" t="inlineStr">
        <is>
          <t>Editável em PREMISSAS</t>
        </is>
      </c>
    </row>
    <row r="5">
      <c r="B5" s="13" t="inlineStr">
        <is>
          <t>(-) Impostos Simples Nacional</t>
        </is>
      </c>
      <c r="C5" s="14">
        <f>-PREMISSAS!C6*PREMISSAS!C7</f>
        <v/>
      </c>
      <c r="D5" s="22">
        <f>C5/PREMISSAS!C6</f>
        <v/>
      </c>
      <c r="F5" s="13" t="inlineStr">
        <is>
          <t>Alíquota editável em PREMISSAS</t>
        </is>
      </c>
    </row>
    <row r="6">
      <c r="B6" s="15" t="inlineStr">
        <is>
          <t>Receita Líquida (NNS)</t>
        </is>
      </c>
      <c r="C6" s="16">
        <f>C4+C5</f>
        <v/>
      </c>
      <c r="D6" s="70">
        <f>C6/C4</f>
        <v/>
      </c>
      <c r="E6" s="70">
        <f>1</f>
        <v/>
      </c>
      <c r="F6" s="15" t="inlineStr"/>
    </row>
    <row r="7">
      <c r="B7" s="13" t="inlineStr">
        <is>
          <t>(-) Insumos (CPV)</t>
        </is>
      </c>
      <c r="C7" s="14">
        <f>-PREMISSAS!C8</f>
        <v/>
      </c>
      <c r="D7" s="22">
        <f>C7/C4</f>
        <v/>
      </c>
      <c r="E7" s="22">
        <f>C7/C6</f>
        <v/>
      </c>
      <c r="F7" s="13" t="inlineStr">
        <is>
          <t>Chantilly + Wafer + Chocolate</t>
        </is>
      </c>
    </row>
    <row r="8">
      <c r="B8" s="13" t="inlineStr">
        <is>
          <t>(-) ICMS ST</t>
        </is>
      </c>
      <c r="C8" s="14">
        <f>-PREMISSAS!C9</f>
        <v/>
      </c>
      <c r="D8" s="22">
        <f>C8/C4</f>
        <v/>
      </c>
      <c r="E8" s="22">
        <f>C8/C6</f>
        <v/>
      </c>
      <c r="F8" s="13" t="inlineStr">
        <is>
          <t>Substituição tributária</t>
        </is>
      </c>
    </row>
    <row r="9">
      <c r="B9" s="7" t="inlineStr">
        <is>
          <t>COGS Total</t>
        </is>
      </c>
      <c r="C9" s="12">
        <f>C7+C8</f>
        <v/>
      </c>
      <c r="D9" s="21">
        <f>C9/C4</f>
        <v/>
      </c>
      <c r="E9" s="21">
        <f>C9/C6</f>
        <v/>
      </c>
      <c r="F9" s="7" t="inlineStr"/>
    </row>
    <row r="10">
      <c r="B10" s="15" t="inlineStr">
        <is>
          <t>MARGEM DE CONTRIBUIÇÃO (CMC)</t>
        </is>
      </c>
      <c r="C10" s="71">
        <f>C6+C9</f>
        <v/>
      </c>
      <c r="D10" s="72">
        <f>C10/C4</f>
        <v/>
      </c>
      <c r="E10" s="72">
        <f>C10/C6</f>
        <v/>
      </c>
      <c r="F10" s="73" t="inlineStr">
        <is>
          <t>✅ Target Mínimo: 48% da RB</t>
        </is>
      </c>
    </row>
    <row r="11">
      <c r="B11" s="56" t="inlineStr">
        <is>
          <t>Target Mínimo Kopenhagen (48%)</t>
        </is>
      </c>
      <c r="C11" s="74">
        <f>0.48*C4</f>
        <v/>
      </c>
      <c r="D11" s="75">
        <f>0.48</f>
        <v/>
      </c>
      <c r="E11" s="75">
        <f>C11/C6</f>
        <v/>
      </c>
      <c r="F11" s="56" t="inlineStr">
        <is>
          <t>KPI Corporativo</t>
        </is>
      </c>
    </row>
    <row r="12">
      <c r="B12" s="76" t="inlineStr">
        <is>
          <t>Folga vs Target</t>
        </is>
      </c>
      <c r="C12" s="77">
        <f>C10-C11</f>
        <v/>
      </c>
      <c r="D12" s="78">
        <f>C12/C4</f>
        <v/>
      </c>
      <c r="E12" s="78">
        <f>C12/C6</f>
        <v/>
      </c>
      <c r="F12" s="76" t="inlineStr">
        <is>
          <t>Positivo = acima do target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2026-05-01T13:29:47Z</dcterms:created>
  <dcterms:modified xsi:type="dcterms:W3CDTF">2026-05-01T13:29:47Z</dcterms:modified>
</cp:coreProperties>
</file>