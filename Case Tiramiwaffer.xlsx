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crmbr-my.sharepoint.com/personal/patricia_arasaki_grupocrm_com_br/Documents/"/>
    </mc:Choice>
  </mc:AlternateContent>
  <xr:revisionPtr revIDLastSave="38" documentId="8_{721F79D8-8F45-4764-A9AB-2B1B16C6C677}" xr6:coauthVersionLast="47" xr6:coauthVersionMax="47" xr10:uidLastSave="{E833A6B7-CB0E-4632-A99E-8B55B41E1D55}"/>
  <bookViews>
    <workbookView xWindow="-110" yWindow="-110" windowWidth="19420" windowHeight="10300" xr2:uid="{53202F6B-9168-493E-83A0-5F274B1666FC}"/>
  </bookViews>
  <sheets>
    <sheet name="ficha técnica" sheetId="1" r:id="rId1"/>
    <sheet name="insumos" sheetId="4" r:id="rId2"/>
    <sheet name="margem" sheetId="5" r:id="rId3"/>
    <sheet name="lojas" sheetId="6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8" i="4" l="1"/>
  <c r="D41" i="5"/>
  <c r="D40" i="5"/>
  <c r="P5" i="6"/>
  <c r="Q5" i="6"/>
  <c r="P6" i="6"/>
  <c r="Q6" i="6"/>
  <c r="P7" i="6"/>
  <c r="Q7" i="6"/>
  <c r="P8" i="6"/>
  <c r="Q8" i="6"/>
  <c r="P9" i="6"/>
  <c r="Q9" i="6"/>
  <c r="P10" i="6"/>
  <c r="Q10" i="6"/>
  <c r="P11" i="6"/>
  <c r="Q11" i="6"/>
  <c r="P12" i="6"/>
  <c r="Q12" i="6"/>
  <c r="P13" i="6"/>
  <c r="Q13" i="6"/>
  <c r="P14" i="6"/>
  <c r="Q14" i="6"/>
  <c r="P15" i="6"/>
  <c r="Q15" i="6"/>
  <c r="P16" i="6"/>
  <c r="Q16" i="6"/>
  <c r="P17" i="6"/>
  <c r="Q17" i="6"/>
  <c r="P18" i="6"/>
  <c r="Q18" i="6"/>
  <c r="P19" i="6"/>
  <c r="Q19" i="6"/>
  <c r="P20" i="6"/>
  <c r="Q20" i="6"/>
  <c r="P21" i="6"/>
  <c r="Q21" i="6"/>
  <c r="P22" i="6"/>
  <c r="Q22" i="6"/>
  <c r="P23" i="6"/>
  <c r="Q23" i="6"/>
  <c r="P24" i="6"/>
  <c r="Q24" i="6"/>
  <c r="P25" i="6"/>
  <c r="Q25" i="6"/>
  <c r="P26" i="6"/>
  <c r="Q26" i="6"/>
  <c r="P27" i="6"/>
  <c r="Q27" i="6"/>
  <c r="P28" i="6"/>
  <c r="Q28" i="6"/>
  <c r="P29" i="6"/>
  <c r="Q29" i="6"/>
  <c r="P30" i="6"/>
  <c r="Q30" i="6"/>
  <c r="P31" i="6"/>
  <c r="Q31" i="6"/>
  <c r="P32" i="6"/>
  <c r="Q32" i="6"/>
  <c r="P33" i="6"/>
  <c r="Q33" i="6"/>
  <c r="P34" i="6"/>
  <c r="Q34" i="6"/>
  <c r="P35" i="6"/>
  <c r="Q35" i="6"/>
  <c r="P36" i="6"/>
  <c r="Q36" i="6"/>
  <c r="P37" i="6"/>
  <c r="Q37" i="6"/>
  <c r="P38" i="6"/>
  <c r="Q38" i="6"/>
  <c r="P39" i="6"/>
  <c r="Q39" i="6"/>
  <c r="P40" i="6"/>
  <c r="Q40" i="6"/>
  <c r="P41" i="6"/>
  <c r="Q41" i="6"/>
  <c r="P42" i="6"/>
  <c r="Q42" i="6"/>
  <c r="P43" i="6"/>
  <c r="Q43" i="6"/>
  <c r="P44" i="6"/>
  <c r="Q44" i="6"/>
  <c r="P45" i="6"/>
  <c r="Q45" i="6"/>
  <c r="P46" i="6"/>
  <c r="Q46" i="6"/>
  <c r="P47" i="6"/>
  <c r="Q47" i="6"/>
  <c r="P48" i="6"/>
  <c r="Q48" i="6"/>
  <c r="P49" i="6"/>
  <c r="Q49" i="6"/>
  <c r="P50" i="6"/>
  <c r="Q50" i="6"/>
  <c r="P51" i="6"/>
  <c r="Q51" i="6"/>
  <c r="P52" i="6"/>
  <c r="Q52" i="6"/>
  <c r="P53" i="6"/>
  <c r="Q53" i="6"/>
  <c r="P54" i="6"/>
  <c r="Q54" i="6"/>
  <c r="P55" i="6"/>
  <c r="Q55" i="6"/>
  <c r="P56" i="6"/>
  <c r="Q56" i="6"/>
  <c r="P57" i="6"/>
  <c r="Q57" i="6"/>
  <c r="P58" i="6"/>
  <c r="Q58" i="6"/>
  <c r="P59" i="6"/>
  <c r="Q59" i="6"/>
  <c r="P60" i="6"/>
  <c r="Q60" i="6"/>
  <c r="P61" i="6"/>
  <c r="Q61" i="6"/>
  <c r="P62" i="6"/>
  <c r="Q62" i="6"/>
  <c r="P63" i="6"/>
  <c r="Q63" i="6"/>
  <c r="P64" i="6"/>
  <c r="Q64" i="6"/>
  <c r="P65" i="6"/>
  <c r="Q65" i="6"/>
  <c r="P66" i="6"/>
  <c r="Q66" i="6"/>
  <c r="P67" i="6"/>
  <c r="Q67" i="6"/>
  <c r="P68" i="6"/>
  <c r="Q68" i="6"/>
  <c r="P69" i="6"/>
  <c r="Q69" i="6"/>
  <c r="P70" i="6"/>
  <c r="Q70" i="6"/>
  <c r="P71" i="6"/>
  <c r="Q71" i="6"/>
  <c r="P72" i="6"/>
  <c r="Q72" i="6"/>
  <c r="P73" i="6"/>
  <c r="Q73" i="6"/>
  <c r="P74" i="6"/>
  <c r="Q74" i="6"/>
  <c r="P75" i="6"/>
  <c r="Q75" i="6"/>
  <c r="P76" i="6"/>
  <c r="Q76" i="6"/>
  <c r="P77" i="6"/>
  <c r="Q77" i="6"/>
  <c r="P78" i="6"/>
  <c r="Q78" i="6"/>
  <c r="P79" i="6"/>
  <c r="Q79" i="6"/>
  <c r="P80" i="6"/>
  <c r="Q80" i="6"/>
  <c r="P81" i="6"/>
  <c r="Q81" i="6"/>
  <c r="P82" i="6"/>
  <c r="Q82" i="6"/>
  <c r="P83" i="6"/>
  <c r="Q83" i="6"/>
  <c r="P84" i="6"/>
  <c r="Q84" i="6"/>
  <c r="P85" i="6"/>
  <c r="Q85" i="6"/>
  <c r="P86" i="6"/>
  <c r="Q86" i="6"/>
  <c r="P87" i="6"/>
  <c r="Q87" i="6"/>
  <c r="P88" i="6"/>
  <c r="Q88" i="6"/>
  <c r="P89" i="6"/>
  <c r="Q89" i="6"/>
  <c r="P90" i="6"/>
  <c r="Q90" i="6"/>
  <c r="P91" i="6"/>
  <c r="Q91" i="6"/>
  <c r="P92" i="6"/>
  <c r="Q92" i="6"/>
  <c r="P93" i="6"/>
  <c r="Q93" i="6"/>
  <c r="P94" i="6"/>
  <c r="Q94" i="6"/>
  <c r="P95" i="6"/>
  <c r="Q95" i="6"/>
  <c r="P96" i="6"/>
  <c r="Q96" i="6"/>
  <c r="P97" i="6"/>
  <c r="Q97" i="6"/>
  <c r="P98" i="6"/>
  <c r="Q98" i="6"/>
  <c r="P99" i="6"/>
  <c r="Q99" i="6"/>
  <c r="P100" i="6"/>
  <c r="Q100" i="6"/>
  <c r="P101" i="6"/>
  <c r="Q101" i="6"/>
  <c r="P102" i="6"/>
  <c r="Q102" i="6"/>
  <c r="P103" i="6"/>
  <c r="Q103" i="6"/>
  <c r="P104" i="6"/>
  <c r="Q104" i="6"/>
  <c r="P105" i="6"/>
  <c r="Q105" i="6"/>
  <c r="P106" i="6"/>
  <c r="Q106" i="6"/>
  <c r="P107" i="6"/>
  <c r="Q107" i="6"/>
  <c r="P108" i="6"/>
  <c r="Q108" i="6"/>
  <c r="P109" i="6"/>
  <c r="Q109" i="6"/>
  <c r="P110" i="6"/>
  <c r="Q110" i="6"/>
  <c r="P111" i="6"/>
  <c r="Q111" i="6"/>
  <c r="P112" i="6"/>
  <c r="Q112" i="6"/>
  <c r="P113" i="6"/>
  <c r="Q113" i="6"/>
  <c r="P114" i="6"/>
  <c r="Q114" i="6"/>
  <c r="P115" i="6"/>
  <c r="Q115" i="6"/>
  <c r="P116" i="6"/>
  <c r="Q116" i="6"/>
  <c r="P117" i="6"/>
  <c r="Q117" i="6"/>
  <c r="P118" i="6"/>
  <c r="Q118" i="6"/>
  <c r="P119" i="6"/>
  <c r="Q119" i="6"/>
  <c r="P120" i="6"/>
  <c r="Q120" i="6"/>
  <c r="P121" i="6"/>
  <c r="Q121" i="6"/>
  <c r="P122" i="6"/>
  <c r="Q122" i="6"/>
  <c r="P123" i="6"/>
  <c r="Q123" i="6"/>
  <c r="P124" i="6"/>
  <c r="Q124" i="6"/>
  <c r="P125" i="6"/>
  <c r="Q125" i="6"/>
  <c r="P126" i="6"/>
  <c r="Q126" i="6"/>
  <c r="P127" i="6"/>
  <c r="Q127" i="6"/>
  <c r="P128" i="6"/>
  <c r="Q128" i="6"/>
  <c r="P129" i="6"/>
  <c r="Q129" i="6"/>
  <c r="P130" i="6"/>
  <c r="Q130" i="6"/>
  <c r="P131" i="6"/>
  <c r="Q131" i="6"/>
  <c r="P132" i="6"/>
  <c r="Q132" i="6"/>
  <c r="P133" i="6"/>
  <c r="Q133" i="6"/>
  <c r="P134" i="6"/>
  <c r="Q134" i="6"/>
  <c r="P135" i="6"/>
  <c r="Q135" i="6"/>
  <c r="P136" i="6"/>
  <c r="Q136" i="6"/>
  <c r="P137" i="6"/>
  <c r="Q137" i="6"/>
  <c r="P138" i="6"/>
  <c r="Q138" i="6"/>
  <c r="P139" i="6"/>
  <c r="Q139" i="6"/>
  <c r="P140" i="6"/>
  <c r="Q140" i="6"/>
  <c r="P141" i="6"/>
  <c r="Q141" i="6"/>
  <c r="P142" i="6"/>
  <c r="Q142" i="6"/>
  <c r="P143" i="6"/>
  <c r="Q143" i="6"/>
  <c r="P144" i="6"/>
  <c r="Q144" i="6"/>
  <c r="P145" i="6"/>
  <c r="Q145" i="6"/>
  <c r="P146" i="6"/>
  <c r="Q146" i="6"/>
  <c r="P147" i="6"/>
  <c r="Q147" i="6"/>
  <c r="P148" i="6"/>
  <c r="Q148" i="6"/>
  <c r="P149" i="6"/>
  <c r="Q149" i="6"/>
  <c r="P150" i="6"/>
  <c r="Q150" i="6"/>
  <c r="P151" i="6"/>
  <c r="Q151" i="6"/>
  <c r="P152" i="6"/>
  <c r="Q152" i="6"/>
  <c r="P153" i="6"/>
  <c r="Q153" i="6"/>
  <c r="P154" i="6"/>
  <c r="Q154" i="6"/>
  <c r="P155" i="6"/>
  <c r="Q155" i="6"/>
  <c r="P156" i="6"/>
  <c r="Q156" i="6"/>
  <c r="P157" i="6"/>
  <c r="Q157" i="6"/>
  <c r="P158" i="6"/>
  <c r="Q158" i="6"/>
  <c r="P159" i="6"/>
  <c r="Q159" i="6"/>
  <c r="P160" i="6"/>
  <c r="Q160" i="6"/>
  <c r="P161" i="6"/>
  <c r="Q161" i="6"/>
  <c r="P162" i="6"/>
  <c r="Q162" i="6"/>
  <c r="P163" i="6"/>
  <c r="Q163" i="6"/>
  <c r="P164" i="6"/>
  <c r="Q164" i="6"/>
  <c r="P165" i="6"/>
  <c r="Q165" i="6"/>
  <c r="P166" i="6"/>
  <c r="Q166" i="6"/>
  <c r="P167" i="6"/>
  <c r="Q167" i="6"/>
  <c r="P168" i="6"/>
  <c r="Q168" i="6"/>
  <c r="P169" i="6"/>
  <c r="Q169" i="6"/>
  <c r="P170" i="6"/>
  <c r="Q170" i="6"/>
  <c r="P171" i="6"/>
  <c r="Q171" i="6"/>
  <c r="P172" i="6"/>
  <c r="Q172" i="6"/>
  <c r="P173" i="6"/>
  <c r="Q173" i="6"/>
  <c r="P174" i="6"/>
  <c r="Q174" i="6"/>
  <c r="P175" i="6"/>
  <c r="Q175" i="6"/>
  <c r="P176" i="6"/>
  <c r="Q176" i="6"/>
  <c r="P177" i="6"/>
  <c r="Q177" i="6"/>
  <c r="P178" i="6"/>
  <c r="Q178" i="6"/>
  <c r="P179" i="6"/>
  <c r="Q179" i="6"/>
  <c r="P180" i="6"/>
  <c r="Q180" i="6"/>
  <c r="P181" i="6"/>
  <c r="Q181" i="6"/>
  <c r="P182" i="6"/>
  <c r="Q182" i="6"/>
  <c r="P183" i="6"/>
  <c r="Q183" i="6"/>
  <c r="P184" i="6"/>
  <c r="Q184" i="6"/>
  <c r="P185" i="6"/>
  <c r="Q185" i="6"/>
  <c r="P186" i="6"/>
  <c r="Q186" i="6"/>
  <c r="P187" i="6"/>
  <c r="Q187" i="6"/>
  <c r="P188" i="6"/>
  <c r="Q188" i="6"/>
  <c r="P189" i="6"/>
  <c r="Q189" i="6"/>
  <c r="P190" i="6"/>
  <c r="Q190" i="6"/>
  <c r="P191" i="6"/>
  <c r="Q191" i="6"/>
  <c r="P192" i="6"/>
  <c r="Q192" i="6"/>
  <c r="P193" i="6"/>
  <c r="Q193" i="6"/>
  <c r="P194" i="6"/>
  <c r="Q194" i="6"/>
  <c r="P195" i="6"/>
  <c r="Q195" i="6"/>
  <c r="P196" i="6"/>
  <c r="Q196" i="6"/>
  <c r="P197" i="6"/>
  <c r="Q197" i="6"/>
  <c r="P198" i="6"/>
  <c r="Q198" i="6"/>
  <c r="P199" i="6"/>
  <c r="Q199" i="6"/>
  <c r="P200" i="6"/>
  <c r="Q200" i="6"/>
  <c r="P201" i="6"/>
  <c r="Q201" i="6"/>
  <c r="P202" i="6"/>
  <c r="Q202" i="6"/>
  <c r="P203" i="6"/>
  <c r="Q203" i="6"/>
  <c r="P204" i="6"/>
  <c r="Q204" i="6"/>
  <c r="P205" i="6"/>
  <c r="Q205" i="6"/>
  <c r="P206" i="6"/>
  <c r="Q206" i="6"/>
  <c r="P207" i="6"/>
  <c r="Q207" i="6"/>
  <c r="P208" i="6"/>
  <c r="Q208" i="6"/>
  <c r="P209" i="6"/>
  <c r="Q209" i="6"/>
  <c r="P210" i="6"/>
  <c r="Q210" i="6"/>
  <c r="P211" i="6"/>
  <c r="Q211" i="6"/>
  <c r="P212" i="6"/>
  <c r="Q212" i="6"/>
  <c r="P213" i="6"/>
  <c r="Q213" i="6"/>
  <c r="P214" i="6"/>
  <c r="Q214" i="6"/>
  <c r="P215" i="6"/>
  <c r="Q215" i="6"/>
  <c r="P216" i="6"/>
  <c r="Q216" i="6"/>
  <c r="P217" i="6"/>
  <c r="Q217" i="6"/>
  <c r="P218" i="6"/>
  <c r="Q218" i="6"/>
  <c r="P219" i="6"/>
  <c r="Q219" i="6"/>
  <c r="P220" i="6"/>
  <c r="Q220" i="6"/>
  <c r="P221" i="6"/>
  <c r="Q221" i="6"/>
  <c r="P222" i="6"/>
  <c r="Q222" i="6"/>
  <c r="P223" i="6"/>
  <c r="Q223" i="6"/>
  <c r="P224" i="6"/>
  <c r="Q224" i="6"/>
  <c r="P225" i="6"/>
  <c r="Q225" i="6"/>
  <c r="P226" i="6"/>
  <c r="Q226" i="6"/>
  <c r="P227" i="6"/>
  <c r="Q227" i="6"/>
  <c r="P228" i="6"/>
  <c r="Q228" i="6"/>
  <c r="P229" i="6"/>
  <c r="Q229" i="6"/>
  <c r="P230" i="6"/>
  <c r="Q230" i="6"/>
  <c r="P231" i="6"/>
  <c r="Q231" i="6"/>
  <c r="P232" i="6"/>
  <c r="Q232" i="6"/>
  <c r="P233" i="6"/>
  <c r="Q233" i="6"/>
  <c r="P234" i="6"/>
  <c r="Q234" i="6"/>
  <c r="P235" i="6"/>
  <c r="Q235" i="6"/>
  <c r="P236" i="6"/>
  <c r="Q236" i="6"/>
  <c r="P237" i="6"/>
  <c r="Q237" i="6"/>
  <c r="P238" i="6"/>
  <c r="Q238" i="6"/>
  <c r="P239" i="6"/>
  <c r="Q239" i="6"/>
  <c r="P240" i="6"/>
  <c r="Q240" i="6"/>
  <c r="P241" i="6"/>
  <c r="Q241" i="6"/>
  <c r="P242" i="6"/>
  <c r="Q242" i="6"/>
  <c r="P243" i="6"/>
  <c r="Q243" i="6"/>
  <c r="P244" i="6"/>
  <c r="Q244" i="6"/>
  <c r="P245" i="6"/>
  <c r="Q245" i="6"/>
  <c r="P246" i="6"/>
  <c r="Q246" i="6"/>
  <c r="P247" i="6"/>
  <c r="Q247" i="6"/>
  <c r="P248" i="6"/>
  <c r="Q248" i="6"/>
  <c r="P249" i="6"/>
  <c r="Q249" i="6"/>
  <c r="P250" i="6"/>
  <c r="Q250" i="6"/>
  <c r="P251" i="6"/>
  <c r="Q251" i="6"/>
  <c r="P252" i="6"/>
  <c r="Q252" i="6"/>
  <c r="P253" i="6"/>
  <c r="Q253" i="6"/>
  <c r="P254" i="6"/>
  <c r="Q254" i="6"/>
  <c r="P255" i="6"/>
  <c r="Q255" i="6"/>
  <c r="P256" i="6"/>
  <c r="Q256" i="6"/>
  <c r="P257" i="6"/>
  <c r="Q257" i="6"/>
  <c r="P258" i="6"/>
  <c r="Q258" i="6"/>
  <c r="P259" i="6"/>
  <c r="Q259" i="6"/>
  <c r="P260" i="6"/>
  <c r="Q260" i="6"/>
  <c r="P261" i="6"/>
  <c r="Q261" i="6"/>
  <c r="P262" i="6"/>
  <c r="Q262" i="6"/>
  <c r="P263" i="6"/>
  <c r="Q263" i="6"/>
  <c r="P264" i="6"/>
  <c r="Q264" i="6"/>
  <c r="P265" i="6"/>
  <c r="Q265" i="6"/>
  <c r="P266" i="6"/>
  <c r="Q266" i="6"/>
  <c r="P267" i="6"/>
  <c r="Q267" i="6"/>
  <c r="P268" i="6"/>
  <c r="Q268" i="6"/>
  <c r="P269" i="6"/>
  <c r="Q269" i="6"/>
  <c r="P270" i="6"/>
  <c r="Q270" i="6"/>
  <c r="P271" i="6"/>
  <c r="Q271" i="6"/>
  <c r="P272" i="6"/>
  <c r="Q272" i="6"/>
  <c r="P273" i="6"/>
  <c r="Q273" i="6"/>
  <c r="P274" i="6"/>
  <c r="Q274" i="6"/>
  <c r="P275" i="6"/>
  <c r="Q275" i="6"/>
  <c r="P276" i="6"/>
  <c r="Q276" i="6"/>
  <c r="P277" i="6"/>
  <c r="Q277" i="6"/>
  <c r="P278" i="6"/>
  <c r="Q278" i="6"/>
  <c r="P279" i="6"/>
  <c r="Q279" i="6"/>
  <c r="P280" i="6"/>
  <c r="Q280" i="6"/>
  <c r="P281" i="6"/>
  <c r="Q281" i="6"/>
  <c r="P282" i="6"/>
  <c r="Q282" i="6"/>
  <c r="P283" i="6"/>
  <c r="Q283" i="6"/>
  <c r="P284" i="6"/>
  <c r="Q284" i="6"/>
  <c r="P285" i="6"/>
  <c r="Q285" i="6"/>
  <c r="P286" i="6"/>
  <c r="Q286" i="6"/>
  <c r="P287" i="6"/>
  <c r="Q287" i="6"/>
  <c r="P288" i="6"/>
  <c r="Q288" i="6"/>
  <c r="P289" i="6"/>
  <c r="Q289" i="6"/>
  <c r="P290" i="6"/>
  <c r="Q290" i="6"/>
  <c r="P291" i="6"/>
  <c r="Q291" i="6"/>
  <c r="P292" i="6"/>
  <c r="Q292" i="6"/>
  <c r="P293" i="6"/>
  <c r="Q293" i="6"/>
  <c r="P294" i="6"/>
  <c r="Q294" i="6"/>
  <c r="P295" i="6"/>
  <c r="Q295" i="6"/>
  <c r="P296" i="6"/>
  <c r="Q296" i="6"/>
  <c r="P297" i="6"/>
  <c r="Q297" i="6"/>
  <c r="P298" i="6"/>
  <c r="Q298" i="6"/>
  <c r="P299" i="6"/>
  <c r="Q299" i="6"/>
  <c r="P300" i="6"/>
  <c r="Q300" i="6"/>
  <c r="P301" i="6"/>
  <c r="Q301" i="6"/>
  <c r="P302" i="6"/>
  <c r="Q302" i="6"/>
  <c r="P303" i="6"/>
  <c r="Q303" i="6"/>
  <c r="P304" i="6"/>
  <c r="Q304" i="6"/>
  <c r="P305" i="6"/>
  <c r="Q305" i="6"/>
  <c r="P306" i="6"/>
  <c r="Q306" i="6"/>
  <c r="P307" i="6"/>
  <c r="Q307" i="6"/>
  <c r="P308" i="6"/>
  <c r="Q308" i="6"/>
  <c r="P309" i="6"/>
  <c r="Q309" i="6"/>
  <c r="P310" i="6"/>
  <c r="Q310" i="6"/>
  <c r="P311" i="6"/>
  <c r="Q311" i="6"/>
  <c r="P312" i="6"/>
  <c r="Q312" i="6"/>
  <c r="P313" i="6"/>
  <c r="Q313" i="6"/>
  <c r="P314" i="6"/>
  <c r="Q314" i="6"/>
  <c r="P315" i="6"/>
  <c r="Q315" i="6"/>
  <c r="P316" i="6"/>
  <c r="Q316" i="6"/>
  <c r="P317" i="6"/>
  <c r="Q317" i="6"/>
  <c r="P318" i="6"/>
  <c r="Q318" i="6"/>
  <c r="P319" i="6"/>
  <c r="Q319" i="6"/>
  <c r="P320" i="6"/>
  <c r="Q320" i="6"/>
  <c r="P321" i="6"/>
  <c r="Q321" i="6"/>
  <c r="P322" i="6"/>
  <c r="Q322" i="6"/>
  <c r="P323" i="6"/>
  <c r="Q323" i="6"/>
  <c r="P324" i="6"/>
  <c r="Q324" i="6"/>
  <c r="P325" i="6"/>
  <c r="Q325" i="6"/>
  <c r="P326" i="6"/>
  <c r="Q326" i="6"/>
  <c r="P327" i="6"/>
  <c r="Q327" i="6"/>
  <c r="P328" i="6"/>
  <c r="Q328" i="6"/>
  <c r="P329" i="6"/>
  <c r="Q329" i="6"/>
  <c r="P330" i="6"/>
  <c r="Q330" i="6"/>
  <c r="P331" i="6"/>
  <c r="Q331" i="6"/>
  <c r="P332" i="6"/>
  <c r="Q332" i="6"/>
  <c r="P333" i="6"/>
  <c r="Q333" i="6"/>
  <c r="P334" i="6"/>
  <c r="Q334" i="6"/>
  <c r="P335" i="6"/>
  <c r="Q335" i="6"/>
  <c r="P336" i="6"/>
  <c r="Q336" i="6"/>
  <c r="P337" i="6"/>
  <c r="Q337" i="6"/>
  <c r="P338" i="6"/>
  <c r="Q338" i="6"/>
  <c r="P339" i="6"/>
  <c r="Q339" i="6"/>
  <c r="P340" i="6"/>
  <c r="Q340" i="6"/>
  <c r="P341" i="6"/>
  <c r="Q341" i="6"/>
  <c r="P342" i="6"/>
  <c r="Q342" i="6"/>
  <c r="P343" i="6"/>
  <c r="Q343" i="6"/>
  <c r="P344" i="6"/>
  <c r="Q344" i="6"/>
  <c r="P345" i="6"/>
  <c r="Q345" i="6"/>
  <c r="P346" i="6"/>
  <c r="Q346" i="6"/>
  <c r="P347" i="6"/>
  <c r="Q347" i="6"/>
  <c r="P348" i="6"/>
  <c r="Q348" i="6"/>
  <c r="P349" i="6"/>
  <c r="Q349" i="6"/>
  <c r="P350" i="6"/>
  <c r="Q350" i="6"/>
  <c r="P351" i="6"/>
  <c r="Q351" i="6"/>
  <c r="P352" i="6"/>
  <c r="Q352" i="6"/>
  <c r="P353" i="6"/>
  <c r="Q353" i="6"/>
  <c r="P354" i="6"/>
  <c r="Q354" i="6"/>
  <c r="P355" i="6"/>
  <c r="Q355" i="6"/>
  <c r="P356" i="6"/>
  <c r="Q356" i="6"/>
  <c r="P357" i="6"/>
  <c r="Q357" i="6"/>
  <c r="P358" i="6"/>
  <c r="Q358" i="6"/>
  <c r="P359" i="6"/>
  <c r="Q359" i="6"/>
  <c r="P360" i="6"/>
  <c r="Q360" i="6"/>
  <c r="P361" i="6"/>
  <c r="Q361" i="6"/>
  <c r="P362" i="6"/>
  <c r="Q362" i="6"/>
  <c r="P363" i="6"/>
  <c r="Q363" i="6"/>
  <c r="P364" i="6"/>
  <c r="Q364" i="6"/>
  <c r="P365" i="6"/>
  <c r="Q365" i="6"/>
  <c r="P366" i="6"/>
  <c r="Q366" i="6"/>
  <c r="P367" i="6"/>
  <c r="Q367" i="6"/>
  <c r="P368" i="6"/>
  <c r="Q368" i="6"/>
  <c r="P369" i="6"/>
  <c r="Q369" i="6"/>
  <c r="P370" i="6"/>
  <c r="Q370" i="6"/>
  <c r="P371" i="6"/>
  <c r="Q371" i="6"/>
  <c r="P372" i="6"/>
  <c r="Q372" i="6"/>
  <c r="P373" i="6"/>
  <c r="Q373" i="6"/>
  <c r="P374" i="6"/>
  <c r="Q374" i="6"/>
  <c r="P375" i="6"/>
  <c r="Q375" i="6"/>
  <c r="P376" i="6"/>
  <c r="Q376" i="6"/>
  <c r="P377" i="6"/>
  <c r="Q377" i="6"/>
  <c r="P378" i="6"/>
  <c r="Q378" i="6"/>
  <c r="P379" i="6"/>
  <c r="Q379" i="6"/>
  <c r="P380" i="6"/>
  <c r="Q380" i="6"/>
  <c r="P381" i="6"/>
  <c r="Q381" i="6"/>
  <c r="P382" i="6"/>
  <c r="Q382" i="6"/>
  <c r="P383" i="6"/>
  <c r="Q383" i="6"/>
  <c r="P384" i="6"/>
  <c r="Q384" i="6"/>
  <c r="P385" i="6"/>
  <c r="Q385" i="6"/>
  <c r="P386" i="6"/>
  <c r="Q386" i="6"/>
  <c r="P387" i="6"/>
  <c r="Q387" i="6"/>
  <c r="P388" i="6"/>
  <c r="Q388" i="6"/>
  <c r="P389" i="6"/>
  <c r="Q389" i="6"/>
  <c r="P390" i="6"/>
  <c r="Q390" i="6"/>
  <c r="P391" i="6"/>
  <c r="Q391" i="6"/>
  <c r="P392" i="6"/>
  <c r="Q392" i="6"/>
  <c r="P393" i="6"/>
  <c r="Q393" i="6"/>
  <c r="P394" i="6"/>
  <c r="Q394" i="6"/>
  <c r="P395" i="6"/>
  <c r="Q395" i="6"/>
  <c r="P396" i="6"/>
  <c r="Q396" i="6"/>
  <c r="P397" i="6"/>
  <c r="Q397" i="6"/>
  <c r="P398" i="6"/>
  <c r="Q398" i="6"/>
  <c r="P399" i="6"/>
  <c r="Q399" i="6"/>
  <c r="P400" i="6"/>
  <c r="Q400" i="6"/>
  <c r="P401" i="6"/>
  <c r="Q401" i="6"/>
  <c r="P402" i="6"/>
  <c r="Q402" i="6"/>
  <c r="P403" i="6"/>
  <c r="Q403" i="6"/>
  <c r="P404" i="6"/>
  <c r="Q404" i="6"/>
  <c r="P405" i="6"/>
  <c r="Q405" i="6"/>
  <c r="P406" i="6"/>
  <c r="Q406" i="6"/>
  <c r="P407" i="6"/>
  <c r="Q407" i="6"/>
  <c r="P408" i="6"/>
  <c r="Q408" i="6"/>
  <c r="P409" i="6"/>
  <c r="Q409" i="6"/>
  <c r="P410" i="6"/>
  <c r="Q410" i="6"/>
  <c r="P411" i="6"/>
  <c r="Q411" i="6"/>
  <c r="P412" i="6"/>
  <c r="Q412" i="6"/>
  <c r="P413" i="6"/>
  <c r="Q413" i="6"/>
  <c r="P414" i="6"/>
  <c r="Q414" i="6"/>
  <c r="P415" i="6"/>
  <c r="Q415" i="6"/>
  <c r="P416" i="6"/>
  <c r="Q416" i="6"/>
  <c r="P417" i="6"/>
  <c r="Q417" i="6"/>
  <c r="P418" i="6"/>
  <c r="Q418" i="6"/>
  <c r="P419" i="6"/>
  <c r="Q419" i="6"/>
  <c r="P420" i="6"/>
  <c r="Q420" i="6"/>
  <c r="P421" i="6"/>
  <c r="Q421" i="6"/>
  <c r="P422" i="6"/>
  <c r="Q422" i="6"/>
  <c r="P423" i="6"/>
  <c r="Q423" i="6"/>
  <c r="P424" i="6"/>
  <c r="Q424" i="6"/>
  <c r="P425" i="6"/>
  <c r="Q425" i="6"/>
  <c r="P426" i="6"/>
  <c r="Q426" i="6"/>
  <c r="P427" i="6"/>
  <c r="Q427" i="6"/>
  <c r="P428" i="6"/>
  <c r="Q428" i="6"/>
  <c r="P429" i="6"/>
  <c r="Q429" i="6"/>
  <c r="P430" i="6"/>
  <c r="Q430" i="6"/>
  <c r="P431" i="6"/>
  <c r="Q431" i="6"/>
  <c r="P432" i="6"/>
  <c r="Q432" i="6"/>
  <c r="P433" i="6"/>
  <c r="Q433" i="6"/>
  <c r="P434" i="6"/>
  <c r="Q434" i="6"/>
  <c r="P435" i="6"/>
  <c r="Q435" i="6"/>
  <c r="P436" i="6"/>
  <c r="Q436" i="6"/>
  <c r="P437" i="6"/>
  <c r="Q437" i="6"/>
  <c r="P438" i="6"/>
  <c r="Q438" i="6"/>
  <c r="P439" i="6"/>
  <c r="Q439" i="6"/>
  <c r="P440" i="6"/>
  <c r="Q440" i="6"/>
  <c r="P441" i="6"/>
  <c r="Q441" i="6"/>
  <c r="P442" i="6"/>
  <c r="Q442" i="6"/>
  <c r="P443" i="6"/>
  <c r="Q443" i="6"/>
  <c r="P444" i="6"/>
  <c r="Q444" i="6"/>
  <c r="P445" i="6"/>
  <c r="Q445" i="6"/>
  <c r="P446" i="6"/>
  <c r="Q446" i="6"/>
  <c r="P447" i="6"/>
  <c r="Q447" i="6"/>
  <c r="P448" i="6"/>
  <c r="Q448" i="6"/>
  <c r="P449" i="6"/>
  <c r="Q449" i="6"/>
  <c r="P450" i="6"/>
  <c r="Q450" i="6"/>
  <c r="P451" i="6"/>
  <c r="Q451" i="6"/>
  <c r="P452" i="6"/>
  <c r="Q452" i="6"/>
  <c r="P453" i="6"/>
  <c r="Q453" i="6"/>
  <c r="P454" i="6"/>
  <c r="Q454" i="6"/>
  <c r="P455" i="6"/>
  <c r="Q455" i="6"/>
  <c r="P456" i="6"/>
  <c r="Q456" i="6"/>
  <c r="P457" i="6"/>
  <c r="Q457" i="6"/>
  <c r="P458" i="6"/>
  <c r="Q458" i="6"/>
  <c r="P459" i="6"/>
  <c r="Q459" i="6"/>
  <c r="P460" i="6"/>
  <c r="Q460" i="6"/>
  <c r="P461" i="6"/>
  <c r="Q461" i="6"/>
  <c r="P462" i="6"/>
  <c r="Q462" i="6"/>
  <c r="P463" i="6"/>
  <c r="Q463" i="6"/>
  <c r="P464" i="6"/>
  <c r="Q464" i="6"/>
  <c r="P465" i="6"/>
  <c r="Q465" i="6"/>
  <c r="P466" i="6"/>
  <c r="Q466" i="6"/>
  <c r="P467" i="6"/>
  <c r="Q467" i="6"/>
  <c r="P468" i="6"/>
  <c r="Q468" i="6"/>
  <c r="P469" i="6"/>
  <c r="Q469" i="6"/>
  <c r="P470" i="6"/>
  <c r="Q470" i="6"/>
  <c r="P471" i="6"/>
  <c r="Q471" i="6"/>
  <c r="P472" i="6"/>
  <c r="Q472" i="6"/>
  <c r="P473" i="6"/>
  <c r="Q473" i="6"/>
  <c r="P474" i="6"/>
  <c r="Q474" i="6"/>
  <c r="P475" i="6"/>
  <c r="Q475" i="6"/>
  <c r="P476" i="6"/>
  <c r="Q476" i="6"/>
  <c r="P477" i="6"/>
  <c r="Q477" i="6"/>
  <c r="P478" i="6"/>
  <c r="Q478" i="6"/>
  <c r="P479" i="6"/>
  <c r="Q479" i="6"/>
  <c r="P480" i="6"/>
  <c r="Q480" i="6"/>
  <c r="P481" i="6"/>
  <c r="Q481" i="6"/>
  <c r="P482" i="6"/>
  <c r="Q482" i="6"/>
  <c r="P483" i="6"/>
  <c r="Q483" i="6"/>
  <c r="P484" i="6"/>
  <c r="Q484" i="6"/>
  <c r="P485" i="6"/>
  <c r="Q485" i="6"/>
  <c r="P486" i="6"/>
  <c r="Q486" i="6"/>
  <c r="P487" i="6"/>
  <c r="Q487" i="6"/>
  <c r="P488" i="6"/>
  <c r="Q488" i="6"/>
  <c r="P489" i="6"/>
  <c r="Q489" i="6"/>
  <c r="P490" i="6"/>
  <c r="Q490" i="6"/>
  <c r="P491" i="6"/>
  <c r="Q491" i="6"/>
  <c r="P492" i="6"/>
  <c r="Q492" i="6"/>
  <c r="P493" i="6"/>
  <c r="Q493" i="6"/>
  <c r="P494" i="6"/>
  <c r="Q494" i="6"/>
  <c r="P495" i="6"/>
  <c r="Q495" i="6"/>
  <c r="P496" i="6"/>
  <c r="Q496" i="6"/>
  <c r="P497" i="6"/>
  <c r="Q497" i="6"/>
  <c r="P498" i="6"/>
  <c r="Q498" i="6"/>
  <c r="P499" i="6"/>
  <c r="Q499" i="6"/>
  <c r="P500" i="6"/>
  <c r="Q500" i="6"/>
  <c r="P501" i="6"/>
  <c r="Q501" i="6"/>
  <c r="P502" i="6"/>
  <c r="Q502" i="6"/>
  <c r="P503" i="6"/>
  <c r="Q503" i="6"/>
  <c r="P504" i="6"/>
  <c r="Q504" i="6"/>
  <c r="P505" i="6"/>
  <c r="Q505" i="6"/>
  <c r="P506" i="6"/>
  <c r="Q506" i="6"/>
  <c r="P507" i="6"/>
  <c r="Q507" i="6"/>
  <c r="P508" i="6"/>
  <c r="Q508" i="6"/>
  <c r="P509" i="6"/>
  <c r="Q509" i="6"/>
  <c r="P510" i="6"/>
  <c r="Q510" i="6"/>
  <c r="P511" i="6"/>
  <c r="Q511" i="6"/>
  <c r="P512" i="6"/>
  <c r="Q512" i="6"/>
  <c r="P513" i="6"/>
  <c r="Q513" i="6"/>
  <c r="P514" i="6"/>
  <c r="Q514" i="6"/>
  <c r="P515" i="6"/>
  <c r="Q515" i="6"/>
  <c r="P516" i="6"/>
  <c r="Q516" i="6"/>
  <c r="P517" i="6"/>
  <c r="Q517" i="6"/>
  <c r="P518" i="6"/>
  <c r="Q518" i="6"/>
  <c r="P519" i="6"/>
  <c r="Q519" i="6"/>
  <c r="P520" i="6"/>
  <c r="Q520" i="6"/>
  <c r="P521" i="6"/>
  <c r="Q521" i="6"/>
  <c r="P522" i="6"/>
  <c r="Q522" i="6"/>
  <c r="P523" i="6"/>
  <c r="Q523" i="6"/>
  <c r="P524" i="6"/>
  <c r="Q524" i="6"/>
  <c r="P525" i="6"/>
  <c r="Q525" i="6"/>
  <c r="P526" i="6"/>
  <c r="Q526" i="6"/>
  <c r="P527" i="6"/>
  <c r="Q527" i="6"/>
  <c r="P528" i="6"/>
  <c r="Q528" i="6"/>
  <c r="P529" i="6"/>
  <c r="Q529" i="6"/>
  <c r="P530" i="6"/>
  <c r="Q530" i="6"/>
  <c r="P531" i="6"/>
  <c r="Q531" i="6"/>
  <c r="P532" i="6"/>
  <c r="Q532" i="6"/>
  <c r="P533" i="6"/>
  <c r="Q533" i="6"/>
  <c r="P534" i="6"/>
  <c r="Q534" i="6"/>
  <c r="P535" i="6"/>
  <c r="Q535" i="6"/>
  <c r="P536" i="6"/>
  <c r="Q536" i="6"/>
  <c r="P537" i="6"/>
  <c r="Q537" i="6"/>
  <c r="P538" i="6"/>
  <c r="Q538" i="6"/>
  <c r="P539" i="6"/>
  <c r="Q539" i="6"/>
  <c r="P540" i="6"/>
  <c r="Q540" i="6"/>
  <c r="P541" i="6"/>
  <c r="Q541" i="6"/>
  <c r="P542" i="6"/>
  <c r="Q542" i="6"/>
  <c r="P543" i="6"/>
  <c r="Q543" i="6"/>
  <c r="P544" i="6"/>
  <c r="Q544" i="6"/>
  <c r="P545" i="6"/>
  <c r="Q545" i="6"/>
  <c r="P546" i="6"/>
  <c r="Q546" i="6"/>
  <c r="P547" i="6"/>
  <c r="Q547" i="6"/>
  <c r="P548" i="6"/>
  <c r="Q548" i="6"/>
  <c r="P549" i="6"/>
  <c r="Q549" i="6"/>
  <c r="P550" i="6"/>
  <c r="Q550" i="6"/>
  <c r="P551" i="6"/>
  <c r="Q551" i="6"/>
  <c r="P552" i="6"/>
  <c r="Q552" i="6"/>
  <c r="P553" i="6"/>
  <c r="Q553" i="6"/>
  <c r="P554" i="6"/>
  <c r="Q554" i="6"/>
  <c r="P555" i="6"/>
  <c r="Q555" i="6"/>
  <c r="P556" i="6"/>
  <c r="Q556" i="6"/>
  <c r="P557" i="6"/>
  <c r="Q557" i="6"/>
  <c r="P558" i="6"/>
  <c r="Q558" i="6"/>
  <c r="P559" i="6"/>
  <c r="Q559" i="6"/>
  <c r="P560" i="6"/>
  <c r="Q560" i="6"/>
  <c r="P561" i="6"/>
  <c r="Q561" i="6"/>
  <c r="P562" i="6"/>
  <c r="Q562" i="6"/>
  <c r="P563" i="6"/>
  <c r="Q563" i="6"/>
  <c r="P564" i="6"/>
  <c r="Q564" i="6"/>
  <c r="P565" i="6"/>
  <c r="Q565" i="6"/>
  <c r="P566" i="6"/>
  <c r="Q566" i="6"/>
  <c r="P567" i="6"/>
  <c r="Q567" i="6"/>
  <c r="P568" i="6"/>
  <c r="Q568" i="6"/>
  <c r="P569" i="6"/>
  <c r="Q569" i="6"/>
  <c r="P570" i="6"/>
  <c r="Q570" i="6"/>
  <c r="P571" i="6"/>
  <c r="Q571" i="6"/>
  <c r="P572" i="6"/>
  <c r="Q572" i="6"/>
  <c r="P573" i="6"/>
  <c r="Q573" i="6"/>
  <c r="P574" i="6"/>
  <c r="Q574" i="6"/>
  <c r="P575" i="6"/>
  <c r="Q575" i="6"/>
  <c r="P576" i="6"/>
  <c r="Q576" i="6"/>
  <c r="P577" i="6"/>
  <c r="Q577" i="6"/>
  <c r="P578" i="6"/>
  <c r="Q578" i="6"/>
  <c r="P579" i="6"/>
  <c r="Q579" i="6"/>
  <c r="P580" i="6"/>
  <c r="Q580" i="6"/>
  <c r="P581" i="6"/>
  <c r="Q581" i="6"/>
  <c r="P582" i="6"/>
  <c r="Q582" i="6"/>
  <c r="P583" i="6"/>
  <c r="Q583" i="6"/>
  <c r="P584" i="6"/>
  <c r="Q584" i="6"/>
  <c r="P585" i="6"/>
  <c r="Q585" i="6"/>
  <c r="P586" i="6"/>
  <c r="Q586" i="6"/>
  <c r="P587" i="6"/>
  <c r="Q587" i="6"/>
  <c r="P588" i="6"/>
  <c r="Q588" i="6"/>
  <c r="P589" i="6"/>
  <c r="Q589" i="6"/>
  <c r="P590" i="6"/>
  <c r="Q590" i="6"/>
  <c r="P591" i="6"/>
  <c r="Q591" i="6"/>
  <c r="P592" i="6"/>
  <c r="Q592" i="6"/>
  <c r="P593" i="6"/>
  <c r="Q593" i="6"/>
  <c r="P594" i="6"/>
  <c r="Q594" i="6"/>
  <c r="P595" i="6"/>
  <c r="Q595" i="6"/>
  <c r="P596" i="6"/>
  <c r="Q596" i="6"/>
  <c r="P597" i="6"/>
  <c r="Q597" i="6"/>
  <c r="P598" i="6"/>
  <c r="Q598" i="6"/>
  <c r="P599" i="6"/>
  <c r="Q599" i="6"/>
  <c r="P600" i="6"/>
  <c r="Q600" i="6"/>
  <c r="P601" i="6"/>
  <c r="Q601" i="6"/>
  <c r="P602" i="6"/>
  <c r="Q602" i="6"/>
  <c r="P603" i="6"/>
  <c r="Q603" i="6"/>
  <c r="P604" i="6"/>
  <c r="Q604" i="6"/>
  <c r="P605" i="6"/>
  <c r="Q605" i="6"/>
  <c r="P606" i="6"/>
  <c r="Q606" i="6"/>
  <c r="P607" i="6"/>
  <c r="Q607" i="6"/>
  <c r="P608" i="6"/>
  <c r="Q608" i="6"/>
  <c r="P609" i="6"/>
  <c r="Q609" i="6"/>
  <c r="P610" i="6"/>
  <c r="Q610" i="6"/>
  <c r="P611" i="6"/>
  <c r="Q611" i="6"/>
  <c r="P612" i="6"/>
  <c r="Q612" i="6"/>
  <c r="P613" i="6"/>
  <c r="Q613" i="6"/>
  <c r="P614" i="6"/>
  <c r="Q614" i="6"/>
  <c r="P615" i="6"/>
  <c r="Q615" i="6"/>
  <c r="P616" i="6"/>
  <c r="Q616" i="6"/>
  <c r="P617" i="6"/>
  <c r="Q617" i="6"/>
  <c r="P618" i="6"/>
  <c r="Q618" i="6"/>
  <c r="P619" i="6"/>
  <c r="Q619" i="6"/>
  <c r="P620" i="6"/>
  <c r="Q620" i="6"/>
  <c r="P621" i="6"/>
  <c r="Q621" i="6"/>
  <c r="P622" i="6"/>
  <c r="Q622" i="6"/>
  <c r="P623" i="6"/>
  <c r="Q623" i="6"/>
  <c r="P624" i="6"/>
  <c r="Q624" i="6"/>
  <c r="P625" i="6"/>
  <c r="Q625" i="6"/>
  <c r="P626" i="6"/>
  <c r="Q626" i="6"/>
  <c r="P627" i="6"/>
  <c r="Q627" i="6"/>
  <c r="P628" i="6"/>
  <c r="Q628" i="6"/>
  <c r="P629" i="6"/>
  <c r="Q629" i="6"/>
  <c r="P630" i="6"/>
  <c r="Q630" i="6"/>
  <c r="P631" i="6"/>
  <c r="Q631" i="6"/>
  <c r="P632" i="6"/>
  <c r="Q632" i="6"/>
  <c r="P633" i="6"/>
  <c r="Q633" i="6"/>
  <c r="P634" i="6"/>
  <c r="Q634" i="6"/>
  <c r="P635" i="6"/>
  <c r="Q635" i="6"/>
  <c r="P636" i="6"/>
  <c r="Q636" i="6"/>
  <c r="P637" i="6"/>
  <c r="Q637" i="6"/>
  <c r="P638" i="6"/>
  <c r="Q638" i="6"/>
  <c r="P639" i="6"/>
  <c r="Q639" i="6"/>
  <c r="P640" i="6"/>
  <c r="Q640" i="6"/>
  <c r="P641" i="6"/>
  <c r="Q641" i="6"/>
  <c r="P642" i="6"/>
  <c r="Q642" i="6"/>
  <c r="P643" i="6"/>
  <c r="Q643" i="6"/>
  <c r="P644" i="6"/>
  <c r="Q644" i="6"/>
  <c r="P645" i="6"/>
  <c r="Q645" i="6"/>
  <c r="P646" i="6"/>
  <c r="Q646" i="6"/>
  <c r="P647" i="6"/>
  <c r="Q647" i="6"/>
  <c r="P648" i="6"/>
  <c r="Q648" i="6"/>
  <c r="P649" i="6"/>
  <c r="Q649" i="6"/>
  <c r="P650" i="6"/>
  <c r="Q650" i="6"/>
  <c r="P651" i="6"/>
  <c r="Q651" i="6"/>
  <c r="P652" i="6"/>
  <c r="Q652" i="6"/>
  <c r="P653" i="6"/>
  <c r="Q653" i="6"/>
  <c r="P654" i="6"/>
  <c r="Q654" i="6"/>
  <c r="P655" i="6"/>
  <c r="Q655" i="6"/>
  <c r="P656" i="6"/>
  <c r="Q656" i="6"/>
  <c r="P657" i="6"/>
  <c r="Q657" i="6"/>
  <c r="P658" i="6"/>
  <c r="Q658" i="6"/>
  <c r="P659" i="6"/>
  <c r="Q659" i="6"/>
  <c r="P660" i="6"/>
  <c r="Q660" i="6"/>
  <c r="P661" i="6"/>
  <c r="Q661" i="6"/>
  <c r="P662" i="6"/>
  <c r="Q662" i="6"/>
  <c r="P663" i="6"/>
  <c r="Q663" i="6"/>
  <c r="P664" i="6"/>
  <c r="Q664" i="6"/>
  <c r="P665" i="6"/>
  <c r="Q665" i="6"/>
  <c r="P666" i="6"/>
  <c r="Q666" i="6"/>
  <c r="P667" i="6"/>
  <c r="Q667" i="6"/>
  <c r="P668" i="6"/>
  <c r="Q668" i="6"/>
  <c r="P669" i="6"/>
  <c r="Q669" i="6"/>
  <c r="P670" i="6"/>
  <c r="Q670" i="6"/>
  <c r="P671" i="6"/>
  <c r="Q671" i="6"/>
  <c r="P672" i="6"/>
  <c r="Q672" i="6"/>
  <c r="P673" i="6"/>
  <c r="Q673" i="6"/>
  <c r="P674" i="6"/>
  <c r="Q674" i="6"/>
  <c r="P675" i="6"/>
  <c r="Q675" i="6"/>
  <c r="P676" i="6"/>
  <c r="Q676" i="6"/>
  <c r="P677" i="6"/>
  <c r="Q677" i="6"/>
  <c r="P678" i="6"/>
  <c r="Q678" i="6"/>
  <c r="P679" i="6"/>
  <c r="Q679" i="6"/>
  <c r="P680" i="6"/>
  <c r="Q680" i="6"/>
  <c r="P681" i="6"/>
  <c r="Q681" i="6"/>
  <c r="P682" i="6"/>
  <c r="Q682" i="6"/>
  <c r="P683" i="6"/>
  <c r="Q683" i="6"/>
  <c r="P684" i="6"/>
  <c r="Q684" i="6"/>
  <c r="P685" i="6"/>
  <c r="Q685" i="6"/>
  <c r="P686" i="6"/>
  <c r="Q686" i="6"/>
  <c r="P687" i="6"/>
  <c r="Q687" i="6"/>
  <c r="P688" i="6"/>
  <c r="Q688" i="6"/>
  <c r="P689" i="6"/>
  <c r="Q689" i="6"/>
  <c r="P690" i="6"/>
  <c r="Q690" i="6"/>
  <c r="P691" i="6"/>
  <c r="Q691" i="6"/>
  <c r="P692" i="6"/>
  <c r="Q692" i="6"/>
  <c r="P693" i="6"/>
  <c r="Q693" i="6"/>
  <c r="P694" i="6"/>
  <c r="Q694" i="6"/>
  <c r="P695" i="6"/>
  <c r="Q695" i="6"/>
  <c r="P696" i="6"/>
  <c r="Q696" i="6"/>
  <c r="P697" i="6"/>
  <c r="Q697" i="6"/>
  <c r="P698" i="6"/>
  <c r="Q698" i="6"/>
  <c r="P699" i="6"/>
  <c r="Q699" i="6"/>
  <c r="P700" i="6"/>
  <c r="Q700" i="6"/>
  <c r="P701" i="6"/>
  <c r="Q701" i="6"/>
  <c r="P702" i="6"/>
  <c r="Q702" i="6"/>
  <c r="P703" i="6"/>
  <c r="Q703" i="6"/>
  <c r="P704" i="6"/>
  <c r="Q704" i="6"/>
  <c r="P705" i="6"/>
  <c r="Q705" i="6"/>
  <c r="P706" i="6"/>
  <c r="Q706" i="6"/>
  <c r="P707" i="6"/>
  <c r="Q707" i="6"/>
  <c r="P708" i="6"/>
  <c r="Q708" i="6"/>
  <c r="P709" i="6"/>
  <c r="Q709" i="6"/>
  <c r="P710" i="6"/>
  <c r="Q710" i="6"/>
  <c r="P711" i="6"/>
  <c r="Q711" i="6"/>
  <c r="P712" i="6"/>
  <c r="Q712" i="6"/>
  <c r="P713" i="6"/>
  <c r="Q713" i="6"/>
  <c r="P714" i="6"/>
  <c r="Q714" i="6"/>
  <c r="P715" i="6"/>
  <c r="Q715" i="6"/>
  <c r="P716" i="6"/>
  <c r="Q716" i="6"/>
  <c r="P717" i="6"/>
  <c r="Q717" i="6"/>
  <c r="P718" i="6"/>
  <c r="Q718" i="6"/>
  <c r="P719" i="6"/>
  <c r="Q719" i="6"/>
  <c r="P720" i="6"/>
  <c r="Q720" i="6"/>
  <c r="P721" i="6"/>
  <c r="Q721" i="6"/>
  <c r="P722" i="6"/>
  <c r="Q722" i="6"/>
  <c r="P723" i="6"/>
  <c r="Q723" i="6"/>
  <c r="P724" i="6"/>
  <c r="Q724" i="6"/>
  <c r="P725" i="6"/>
  <c r="Q725" i="6"/>
  <c r="P726" i="6"/>
  <c r="Q726" i="6"/>
  <c r="P727" i="6"/>
  <c r="Q727" i="6"/>
  <c r="P728" i="6"/>
  <c r="Q728" i="6"/>
  <c r="P729" i="6"/>
  <c r="Q729" i="6"/>
  <c r="P730" i="6"/>
  <c r="Q730" i="6"/>
  <c r="P731" i="6"/>
  <c r="Q731" i="6"/>
  <c r="P732" i="6"/>
  <c r="Q732" i="6"/>
  <c r="P733" i="6"/>
  <c r="Q733" i="6"/>
  <c r="P734" i="6"/>
  <c r="Q734" i="6"/>
  <c r="P735" i="6"/>
  <c r="Q735" i="6"/>
  <c r="P736" i="6"/>
  <c r="Q736" i="6"/>
  <c r="P737" i="6"/>
  <c r="Q737" i="6"/>
  <c r="P738" i="6"/>
  <c r="Q738" i="6"/>
  <c r="P739" i="6"/>
  <c r="Q739" i="6"/>
  <c r="P740" i="6"/>
  <c r="Q740" i="6"/>
  <c r="P741" i="6"/>
  <c r="Q741" i="6"/>
  <c r="P742" i="6"/>
  <c r="Q742" i="6"/>
  <c r="P743" i="6"/>
  <c r="Q743" i="6"/>
  <c r="P744" i="6"/>
  <c r="Q744" i="6"/>
  <c r="P745" i="6"/>
  <c r="Q745" i="6"/>
  <c r="P746" i="6"/>
  <c r="Q746" i="6"/>
  <c r="P747" i="6"/>
  <c r="Q747" i="6"/>
  <c r="P748" i="6"/>
  <c r="Q748" i="6"/>
  <c r="P749" i="6"/>
  <c r="Q749" i="6"/>
  <c r="P750" i="6"/>
  <c r="Q750" i="6"/>
  <c r="P751" i="6"/>
  <c r="Q751" i="6"/>
  <c r="P752" i="6"/>
  <c r="Q752" i="6"/>
  <c r="P753" i="6"/>
  <c r="Q753" i="6"/>
  <c r="P754" i="6"/>
  <c r="Q754" i="6"/>
  <c r="P755" i="6"/>
  <c r="Q755" i="6"/>
  <c r="P756" i="6"/>
  <c r="Q756" i="6"/>
  <c r="P757" i="6"/>
  <c r="Q757" i="6"/>
  <c r="P758" i="6"/>
  <c r="Q758" i="6"/>
  <c r="P759" i="6"/>
  <c r="Q759" i="6"/>
  <c r="P760" i="6"/>
  <c r="Q760" i="6"/>
  <c r="P761" i="6"/>
  <c r="Q761" i="6"/>
  <c r="P762" i="6"/>
  <c r="Q762" i="6"/>
  <c r="P763" i="6"/>
  <c r="Q763" i="6"/>
  <c r="P764" i="6"/>
  <c r="Q764" i="6"/>
  <c r="P765" i="6"/>
  <c r="Q765" i="6"/>
  <c r="P766" i="6"/>
  <c r="Q766" i="6"/>
  <c r="P767" i="6"/>
  <c r="Q767" i="6"/>
  <c r="P768" i="6"/>
  <c r="Q768" i="6"/>
  <c r="P769" i="6"/>
  <c r="Q769" i="6"/>
  <c r="P770" i="6"/>
  <c r="Q770" i="6"/>
  <c r="P771" i="6"/>
  <c r="Q771" i="6"/>
  <c r="P772" i="6"/>
  <c r="Q772" i="6"/>
  <c r="P773" i="6"/>
  <c r="Q773" i="6"/>
  <c r="P774" i="6"/>
  <c r="Q774" i="6"/>
  <c r="P775" i="6"/>
  <c r="Q775" i="6"/>
  <c r="P776" i="6"/>
  <c r="Q776" i="6"/>
  <c r="P777" i="6"/>
  <c r="Q777" i="6"/>
  <c r="P778" i="6"/>
  <c r="Q778" i="6"/>
  <c r="P779" i="6"/>
  <c r="Q779" i="6"/>
  <c r="P780" i="6"/>
  <c r="Q780" i="6"/>
  <c r="P781" i="6"/>
  <c r="Q781" i="6"/>
  <c r="P782" i="6"/>
  <c r="Q782" i="6"/>
  <c r="P783" i="6"/>
  <c r="Q783" i="6"/>
  <c r="P784" i="6"/>
  <c r="Q784" i="6"/>
  <c r="P785" i="6"/>
  <c r="Q785" i="6"/>
  <c r="P786" i="6"/>
  <c r="Q786" i="6"/>
  <c r="P787" i="6"/>
  <c r="Q787" i="6"/>
  <c r="P788" i="6"/>
  <c r="Q788" i="6"/>
  <c r="P789" i="6"/>
  <c r="Q789" i="6"/>
  <c r="P790" i="6"/>
  <c r="Q790" i="6"/>
  <c r="P791" i="6"/>
  <c r="Q791" i="6"/>
  <c r="P792" i="6"/>
  <c r="Q792" i="6"/>
  <c r="P793" i="6"/>
  <c r="Q793" i="6"/>
  <c r="P794" i="6"/>
  <c r="Q794" i="6"/>
  <c r="P795" i="6"/>
  <c r="Q795" i="6"/>
  <c r="P796" i="6"/>
  <c r="Q796" i="6"/>
  <c r="P797" i="6"/>
  <c r="Q797" i="6"/>
  <c r="P798" i="6"/>
  <c r="Q798" i="6"/>
  <c r="P799" i="6"/>
  <c r="Q799" i="6"/>
  <c r="P800" i="6"/>
  <c r="Q800" i="6"/>
  <c r="P801" i="6"/>
  <c r="Q801" i="6"/>
  <c r="P802" i="6"/>
  <c r="Q802" i="6"/>
  <c r="P803" i="6"/>
  <c r="Q803" i="6"/>
  <c r="P804" i="6"/>
  <c r="Q804" i="6"/>
  <c r="P805" i="6"/>
  <c r="Q805" i="6"/>
  <c r="P806" i="6"/>
  <c r="Q806" i="6"/>
  <c r="P807" i="6"/>
  <c r="Q807" i="6"/>
  <c r="P808" i="6"/>
  <c r="Q808" i="6"/>
  <c r="P809" i="6"/>
  <c r="Q809" i="6"/>
  <c r="P810" i="6"/>
  <c r="Q810" i="6"/>
  <c r="P811" i="6"/>
  <c r="Q811" i="6"/>
  <c r="P812" i="6"/>
  <c r="Q812" i="6"/>
  <c r="P813" i="6"/>
  <c r="Q813" i="6"/>
  <c r="P814" i="6"/>
  <c r="Q814" i="6"/>
  <c r="P815" i="6"/>
  <c r="Q815" i="6"/>
  <c r="P816" i="6"/>
  <c r="Q816" i="6"/>
  <c r="P817" i="6"/>
  <c r="Q817" i="6"/>
  <c r="P818" i="6"/>
  <c r="Q818" i="6"/>
  <c r="P819" i="6"/>
  <c r="Q819" i="6"/>
  <c r="P820" i="6"/>
  <c r="Q820" i="6"/>
  <c r="P821" i="6"/>
  <c r="Q821" i="6"/>
  <c r="P822" i="6"/>
  <c r="Q822" i="6"/>
  <c r="P823" i="6"/>
  <c r="Q823" i="6"/>
  <c r="P824" i="6"/>
  <c r="Q824" i="6"/>
  <c r="P825" i="6"/>
  <c r="Q825" i="6"/>
  <c r="P826" i="6"/>
  <c r="Q826" i="6"/>
  <c r="P827" i="6"/>
  <c r="Q827" i="6"/>
  <c r="P828" i="6"/>
  <c r="Q828" i="6"/>
  <c r="C34" i="5"/>
  <c r="D32" i="5"/>
  <c r="D30" i="5"/>
  <c r="C28" i="5"/>
  <c r="D26" i="5"/>
  <c r="D24" i="5"/>
  <c r="D23" i="5"/>
  <c r="G4" i="4"/>
  <c r="G7" i="4" s="1"/>
  <c r="G5" i="4"/>
  <c r="J5" i="4" s="1"/>
  <c r="G6" i="4"/>
  <c r="J6" i="4"/>
  <c r="I4" i="4" l="1"/>
  <c r="J4" i="4" s="1"/>
  <c r="J7" i="4" s="1"/>
  <c r="D42" i="5"/>
  <c r="D31" i="5" l="1"/>
  <c r="D34" i="5"/>
  <c r="D33" i="5"/>
  <c r="D29" i="5"/>
  <c r="D27" i="5"/>
  <c r="D28" i="5"/>
  <c r="D25" i="5"/>
  <c r="D22" i="5"/>
  <c r="D11" i="5"/>
  <c r="D14" i="5"/>
  <c r="D12" i="5"/>
  <c r="D6" i="5"/>
  <c r="D20" i="5"/>
  <c r="D3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Edson Maia de Souza</author>
  </authors>
  <commentList>
    <comment ref="C28" authorId="0" shapeId="0" xr:uid="{5490E3EB-CF31-4A66-A22C-5D1B106C9F82}">
      <text>
        <r>
          <rPr>
            <b/>
            <sz val="9"/>
            <color indexed="81"/>
            <rFont val="Segoe UI"/>
            <family val="2"/>
          </rPr>
          <t>Edson Maia de Souza: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(Margem de Valor Agregado)</t>
        </r>
        <r>
          <rPr>
            <sz val="9"/>
            <color indexed="81"/>
            <rFont val="Segoe UI"/>
            <family val="2"/>
          </rPr>
          <t xml:space="preserve"> - ✅ Produtos que costumam ter MVA de 78% (ou próxima)
🍫 Alimentos industrializados de consumo final
Chocolates, bombons, balas e similares
Biscoitos recheados
Barras de cereal</t>
        </r>
      </text>
    </comment>
    <comment ref="C34" authorId="0" shapeId="0" xr:uid="{8CB4B56E-CA75-4FAB-8D28-C0F94A1EB4AC}">
      <text>
        <r>
          <rPr>
            <b/>
            <sz val="9"/>
            <color indexed="81"/>
            <rFont val="Segoe UI"/>
            <family val="2"/>
          </rPr>
          <t>Edson Maia de Souza: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(Margem de Valor Agregado)</t>
        </r>
        <r>
          <rPr>
            <sz val="9"/>
            <color indexed="81"/>
            <rFont val="Segoe UI"/>
            <family val="2"/>
          </rPr>
          <t xml:space="preserve"> - ✅ Produtos que costumam ter MVA de 78% (ou próxima)
🍫 Alimentos industrializados de consumo final
Chocolates, bombons, balas e similares
Biscoitos recheados
Barras de cereal</t>
        </r>
      </text>
    </comment>
  </commentList>
</comments>
</file>

<file path=xl/sharedStrings.xml><?xml version="1.0" encoding="utf-8"?>
<sst xmlns="http://schemas.openxmlformats.org/spreadsheetml/2006/main" count="1942" uniqueCount="891">
  <si>
    <t>INSUMO</t>
  </si>
  <si>
    <t>QTDE</t>
  </si>
  <si>
    <t>Cód SAP</t>
  </si>
  <si>
    <t>UNIDADE MEDIDA</t>
  </si>
  <si>
    <t>Pouch wafer avelã forno K 85g</t>
  </si>
  <si>
    <t>gr</t>
  </si>
  <si>
    <t>ml</t>
  </si>
  <si>
    <t>chocolate em pó 100% 200gr</t>
  </si>
  <si>
    <t>FICHA TÉCNICA</t>
  </si>
  <si>
    <t>4, Sirva a seguir</t>
  </si>
  <si>
    <t>3. Adicione 1 wafer avelã forno cortado em quatro partes para finalizar;</t>
  </si>
  <si>
    <t>2. Sirva num copo de 200 ml de sundae;</t>
  </si>
  <si>
    <t>RENDIMENTO:</t>
  </si>
  <si>
    <t>Modo de preparo :</t>
  </si>
  <si>
    <r>
      <t xml:space="preserve">TEMPO ESTIMADO DE PREPARO: </t>
    </r>
    <r>
      <rPr>
        <sz val="11"/>
        <color theme="1"/>
        <rFont val="Aptos Narrow"/>
        <family val="2"/>
        <scheme val="minor"/>
      </rPr>
      <t>5 minutos</t>
    </r>
  </si>
  <si>
    <t>Peso Unitário (Kg)</t>
  </si>
  <si>
    <t>%</t>
  </si>
  <si>
    <t>Preço (Kg)</t>
  </si>
  <si>
    <t>Receita Bruta</t>
  </si>
  <si>
    <t>Impostos</t>
  </si>
  <si>
    <t>Impostos vs Receita Bruta (%)</t>
  </si>
  <si>
    <t>Simples Nacional</t>
  </si>
  <si>
    <t>ICMS</t>
  </si>
  <si>
    <t>PIS/ Cofins</t>
  </si>
  <si>
    <t>ISS</t>
  </si>
  <si>
    <t>IPI</t>
  </si>
  <si>
    <t>Receita Líquida (NNS)</t>
  </si>
  <si>
    <t>Custos Totais (COGS)</t>
  </si>
  <si>
    <t>COGS (Kg)</t>
  </si>
  <si>
    <t>Insumos</t>
  </si>
  <si>
    <t>ICMS ST (Insumos)</t>
  </si>
  <si>
    <t>Total produtos IST (Sim)</t>
  </si>
  <si>
    <t>ICMS operação (MGxSP)</t>
  </si>
  <si>
    <t>Base ST (MVA)</t>
  </si>
  <si>
    <t>Alíq. Interna. SP</t>
  </si>
  <si>
    <t>Produto Linha</t>
  </si>
  <si>
    <t>ICMS ST (Produto Linha)</t>
  </si>
  <si>
    <t>Frete (VDE)</t>
  </si>
  <si>
    <t>Margem de Contribuição (CMC)</t>
  </si>
  <si>
    <t>CMC (Kg)</t>
  </si>
  <si>
    <t>CMC (%)</t>
  </si>
  <si>
    <t>Target Mínimo (%)</t>
  </si>
  <si>
    <t>CUSTO</t>
  </si>
  <si>
    <t>Chantilly</t>
  </si>
  <si>
    <t>Custo FR</t>
  </si>
  <si>
    <t>Custo CRM</t>
  </si>
  <si>
    <t>Creme de leite chantilly</t>
  </si>
  <si>
    <t>peso</t>
  </si>
  <si>
    <t>1. Coloque num copo acrilico transparente uma base de dois wafer avela corta em pedaço cobrindo todo o fundo, coloca uma camada de chantily, penere o chocolate em po liquificador um medida de xicara de 230 ml de leite e 1 colher de chá de chocolate de pó 100%;</t>
  </si>
  <si>
    <t>Margem lucro</t>
  </si>
  <si>
    <t>Total</t>
  </si>
  <si>
    <t>baixa performance</t>
  </si>
  <si>
    <t>-</t>
  </si>
  <si>
    <t>KOP SP AEROPORTO CONGONHAS PORTAO 08</t>
  </si>
  <si>
    <t>média performance</t>
  </si>
  <si>
    <t>KOP GO JATAI SETOR OESTE</t>
  </si>
  <si>
    <t>KOP SP SAO PAULO AEROPORTO RIB PRETO</t>
  </si>
  <si>
    <t>KOP RJ SHOPPING TIJUCA PISO L1</t>
  </si>
  <si>
    <t>KOP SE MALL LAGARTO CENTRO</t>
  </si>
  <si>
    <t>KOP MG TEOFILO OTONI CENTRO  LT</t>
  </si>
  <si>
    <t>KOP BA PORTO S ARRAIAL DAJUDA</t>
  </si>
  <si>
    <t>KOP SP PORTO FERREIRA</t>
  </si>
  <si>
    <t>KOP MG PARACATU CENTRO</t>
  </si>
  <si>
    <t>KOP PR MARINGA JUSCELINO</t>
  </si>
  <si>
    <t>KOP MG LAGOA DA PRATA CENTRO LT</t>
  </si>
  <si>
    <t>KOP MS CAMPO GRANDE DAHMA MALL</t>
  </si>
  <si>
    <t>KOP GO GOIAS MINEIROS</t>
  </si>
  <si>
    <t>KOP PE CASA FORTE</t>
  </si>
  <si>
    <t>KOP MG SHOP JUIZ DE FORA JARDIM NORTE</t>
  </si>
  <si>
    <t>KOP PI FLORIANO MALL LT</t>
  </si>
  <si>
    <t>alta performance</t>
  </si>
  <si>
    <t>KOP BA TEIXEIRA DE FREITAS CENTRO</t>
  </si>
  <si>
    <t>KOP MG SAO SEBASTIAO DO PARAISO</t>
  </si>
  <si>
    <t>KOP GOVERNADOR VALADARES CENTRO</t>
  </si>
  <si>
    <t>KOP MT CAMPO NOVO DOS PARECIS</t>
  </si>
  <si>
    <t>KOP SP PARADA PINTO</t>
  </si>
  <si>
    <t>KOP PR CURITIBA FLOW OPEN MALL</t>
  </si>
  <si>
    <t>KOP SP COTIA BEST CENTER</t>
  </si>
  <si>
    <t>KOP SP PRES PRUDEN WASHINGTON LUIZ</t>
  </si>
  <si>
    <t>KOP PR CIANORTE CENTRO</t>
  </si>
  <si>
    <t>KOP BA ALAGOINHAS CENTRO</t>
  </si>
  <si>
    <t>KOP GO CALDAS NOVAS MACHADO DE ASSI</t>
  </si>
  <si>
    <t>KOP PR TOLEDO</t>
  </si>
  <si>
    <t>KOP SP OLIMPIA PRAÇA DA MATRIZ</t>
  </si>
  <si>
    <t>KOP AMERICANA VILA MEDON</t>
  </si>
  <si>
    <t>KOP SP RIBEIRAO PIRES CENTRO</t>
  </si>
  <si>
    <t>KOP RS SANTA CRUZ DO SUL</t>
  </si>
  <si>
    <t>KOP TO GURUPI CENTRO</t>
  </si>
  <si>
    <t>KOP BA VITORIA DA CONQUISTA</t>
  </si>
  <si>
    <t>KOP SP DRACENA</t>
  </si>
  <si>
    <t>KOP MG ARAXA</t>
  </si>
  <si>
    <t>KOP MG LAVRAS</t>
  </si>
  <si>
    <t>KOP AL ARAPIRACA RENOVER LT</t>
  </si>
  <si>
    <t>KOP PA ALTAMIRA JD INDEPENDENCIA</t>
  </si>
  <si>
    <t>KOP PI PARNAIBA N SENHORA DE FTMA</t>
  </si>
  <si>
    <t>KOP MG CONSELHEIRO LAFAIETE</t>
  </si>
  <si>
    <t>KOP MG MANHUACU CENTRO</t>
  </si>
  <si>
    <t>KOP SP AUGUSTO TOLLE</t>
  </si>
  <si>
    <t>KOP ALFENAS</t>
  </si>
  <si>
    <t>KOP SP SERTAOZINHO</t>
  </si>
  <si>
    <t>KOP SP JABOTICABAL</t>
  </si>
  <si>
    <t>KOP SP MIRASSOL</t>
  </si>
  <si>
    <t>KOP SJC AV 9 DE JULHO</t>
  </si>
  <si>
    <t>KOP SP SAO JOAQUIM DA BARRA</t>
  </si>
  <si>
    <t>KOP MS TRES LAGOAS CENTRO</t>
  </si>
  <si>
    <t>KOP SP NOVA CANTAREIRA</t>
  </si>
  <si>
    <t>KOP SP ORLANDIA LT</t>
  </si>
  <si>
    <t>KOP PA PARAGOMINAS</t>
  </si>
  <si>
    <t>KOP SP SAO ROQUE CENTRO</t>
  </si>
  <si>
    <t>KOP ES LINHARES</t>
  </si>
  <si>
    <t>KOP PA REDENCAO</t>
  </si>
  <si>
    <t>KOP SC ARARANGUA</t>
  </si>
  <si>
    <t>KOP SC RIO DO SUL CENTRO</t>
  </si>
  <si>
    <t>KOP SP CERQUILHO CENTRO</t>
  </si>
  <si>
    <t>KOP PR CAMPO MOURAO CENTRO</t>
  </si>
  <si>
    <t>KOP ES SHOP BOULEVARD VILA VELHA</t>
  </si>
  <si>
    <t>KOP RS BENTO GONÇALVES</t>
  </si>
  <si>
    <t>KOP MG GUAXUPE TRAV CRUVINEL</t>
  </si>
  <si>
    <t>KOP SP EMBU DAS ARTES MALL</t>
  </si>
  <si>
    <t>KOP MG BELO HORIZONTE LOURDES</t>
  </si>
  <si>
    <t>KOP GO GOIANESIA</t>
  </si>
  <si>
    <t>KOP GO FORMOSA</t>
  </si>
  <si>
    <t>KOP DOIS VIZINHOS CENTRO</t>
  </si>
  <si>
    <t>KOP GO QUIRINOPOLIS CENTRO</t>
  </si>
  <si>
    <t>KOP SP RIO CLARO CENTRO</t>
  </si>
  <si>
    <t>KOP SP FERNANDOPOLIS TRIP MALL</t>
  </si>
  <si>
    <t>KOP PR ARAUCARIA CENTRO</t>
  </si>
  <si>
    <t>KOP SP PIRASSUNUNGA CENTRO</t>
  </si>
  <si>
    <t>KOP ES COLATINA CENTRO</t>
  </si>
  <si>
    <t>KOP MG ITUIUTABA</t>
  </si>
  <si>
    <t>KOP VOTUPORANGA CENTRO</t>
  </si>
  <si>
    <t>KOP MG BARBACENA GALERIA JARDIM LUZ</t>
  </si>
  <si>
    <t>KOP MT LUCAS DO RIO VERDE</t>
  </si>
  <si>
    <t>KOP BA LUIS EDUARDO MAGALHAES</t>
  </si>
  <si>
    <t>KOP MG ITAJUBA CENTRO</t>
  </si>
  <si>
    <t>KOP SP SAO JOSE DO RIO PRETO LUX MALL</t>
  </si>
  <si>
    <t>KOP MA BALSAS</t>
  </si>
  <si>
    <t>KOP MT NOVA MUTUM CENTRO</t>
  </si>
  <si>
    <t>KOP MT BARRA DO GARCAS</t>
  </si>
  <si>
    <t>KOP MG ITABIRA</t>
  </si>
  <si>
    <t>KOP MG DIVINOPOLIS</t>
  </si>
  <si>
    <t>KOP MONTES CLAROS IBITURANA</t>
  </si>
  <si>
    <t>KOP PR CURITIBA SANTA FELICIDADE</t>
  </si>
  <si>
    <t>KOP SP AVENIDA CURSINO</t>
  </si>
  <si>
    <t>KOP SP LENCOIS PAULISTA 981</t>
  </si>
  <si>
    <t>KOP SP BEBEDOURO CENTRO LT</t>
  </si>
  <si>
    <t>KOP SP SALTO JARDIM CELANI</t>
  </si>
  <si>
    <t>KOP NOVO HAMBURGO MAUA</t>
  </si>
  <si>
    <t>KOP MG LAGOA SANTA</t>
  </si>
  <si>
    <t>KOP MG BELO HORIZONTE SHOP FALLS</t>
  </si>
  <si>
    <t>KOP RS POA PADRE CHAGAS</t>
  </si>
  <si>
    <t>KOP MG SETE LAGOAS</t>
  </si>
  <si>
    <t>KOP SP LEME</t>
  </si>
  <si>
    <t>KOP BA BARREIRAS</t>
  </si>
  <si>
    <t>KOP RS POA JARDIM</t>
  </si>
  <si>
    <t>KOP RS PASSO FUNDO BELLA CITTA</t>
  </si>
  <si>
    <t>KOP SP POMPEIA DESEMBARGADOR DO VAL</t>
  </si>
  <si>
    <t>KOP SP HORTOLANDIA</t>
  </si>
  <si>
    <t>KOP PE RECIFE GALPONE</t>
  </si>
  <si>
    <t>KOP MG MONTE CARMELO PATIO JACARANDAS</t>
  </si>
  <si>
    <t>KOP BELO HORIZONTE SERRA</t>
  </si>
  <si>
    <t>KOP MG CONTAGEM SHOPPING CONTAGEM</t>
  </si>
  <si>
    <t>KOP MG GOVERNADOR VALADARES SHOP</t>
  </si>
  <si>
    <t>KOP SP GUARULHOS VILA GALVAO</t>
  </si>
  <si>
    <t>KOP SP ITAPIRA CENTRO</t>
  </si>
  <si>
    <t>KOP SP AEROPORTO GUARULHOS QUIOSQUE</t>
  </si>
  <si>
    <t>KOP SP SAO PAULO HEITOR PENTEADO</t>
  </si>
  <si>
    <t>KOP CE VARANDA MALL</t>
  </si>
  <si>
    <t>KOP MT SINOP EMBAUBAS</t>
  </si>
  <si>
    <t>KOP PA BELEM AEROPORTO</t>
  </si>
  <si>
    <t>KOP MT PRIMAVERA DO LESTE MALL</t>
  </si>
  <si>
    <t>KOP SP TATUAPE RUA SERRA</t>
  </si>
  <si>
    <t>KOP MG PATOS DE MINAS</t>
  </si>
  <si>
    <t>KOP MG DIVINOPOLIS SANTA CLARA</t>
  </si>
  <si>
    <t>KOP PR SHOPPING PARK COLOMBO</t>
  </si>
  <si>
    <t>KOP RJ ARARUAMA CENTRO</t>
  </si>
  <si>
    <t>KOP BH SANTA EFIGENIA</t>
  </si>
  <si>
    <t>KOP SP AVARE</t>
  </si>
  <si>
    <t>KOP MG ARAGUARI CENTRO</t>
  </si>
  <si>
    <t>KOP SP VGP ECO MALL</t>
  </si>
  <si>
    <t>KOP ARACAJU SHOPPING JARDINS</t>
  </si>
  <si>
    <t>KOP BELO HORIZONTE PRADO</t>
  </si>
  <si>
    <t>KOP PR CASCAVEL CENTRO</t>
  </si>
  <si>
    <t>KOP BOA VISTA CENTRO</t>
  </si>
  <si>
    <t>KOP MG CONTAGEM SHOPPING CONTAGEM QSQ</t>
  </si>
  <si>
    <t>KOP BA IRECE</t>
  </si>
  <si>
    <t>KOP RJ LARANJEIRAS</t>
  </si>
  <si>
    <t>KOP IPATINGA SHOPPING VALE DO ACO</t>
  </si>
  <si>
    <t>KOP GO JARDIM GOIAS MALL</t>
  </si>
  <si>
    <t>KOP RJ CABO FRIO RAUL VEIGA</t>
  </si>
  <si>
    <t>KOP MG SAO LOURENCO</t>
  </si>
  <si>
    <t>KOP MG BELO HORIZONTE OURO PRETO</t>
  </si>
  <si>
    <t>KOP MS PONTA PORA</t>
  </si>
  <si>
    <t>KOP ITAPETININGA CENTRO</t>
  </si>
  <si>
    <t>KOP GO SHOPPING REPUBLICA</t>
  </si>
  <si>
    <t>KOP BA LUIS EDUARDO MAGALHAES MALL</t>
  </si>
  <si>
    <t>KOP BH BELVEDERE</t>
  </si>
  <si>
    <t>KOP ARARAQUARA VILA HARMONIA</t>
  </si>
  <si>
    <t>KOP RJ SAO GONCALO SHOPPING</t>
  </si>
  <si>
    <t>KOP JOAO PESSOA CABO BRANCO</t>
  </si>
  <si>
    <t>KOP GO EDIFICIO ATON</t>
  </si>
  <si>
    <t>KOP SP POMPEIA DESEMBARGADOR DO VALE</t>
  </si>
  <si>
    <t>KOP RS GRAMADO</t>
  </si>
  <si>
    <t>KOP SP AMPARO</t>
  </si>
  <si>
    <t>KOP SP BAURU COMENDADOR</t>
  </si>
  <si>
    <t>KOP SP HOLAMBRA</t>
  </si>
  <si>
    <t>KOP PORTO VELHO SHOPPING</t>
  </si>
  <si>
    <t>KOP SHOPPING BOULEVARD VITORIA DA CONQUISTA</t>
  </si>
  <si>
    <t>KOP SP BRAGANCA QUINTA DA BARONESA</t>
  </si>
  <si>
    <t>KOP MG PASSOS</t>
  </si>
  <si>
    <t>KOP SP ALTO DA LAPA PIO XI</t>
  </si>
  <si>
    <t>KOP SP ANHANGUERA CAJAMAR SHOPPING</t>
  </si>
  <si>
    <t>KOP SP COTIA PARK SHOP</t>
  </si>
  <si>
    <t>KOP RN PARNAMIRIM BOSQUE MALL</t>
  </si>
  <si>
    <t>KOP SP CATHARINA MALL</t>
  </si>
  <si>
    <t>KOP SP VILA MARIANA SENA MADUREIRA</t>
  </si>
  <si>
    <t>KOP SC JOINVILLE</t>
  </si>
  <si>
    <t>KOP DOURADOS CENTRO</t>
  </si>
  <si>
    <t>KOP ES SERRA SHOPPING MONTSERRAT</t>
  </si>
  <si>
    <t>KOP GO ITUMBIARA</t>
  </si>
  <si>
    <t>KOP SP LAPA TITO</t>
  </si>
  <si>
    <t>KOP LIMEIRA CENTRO</t>
  </si>
  <si>
    <t>KOP MG BELO HORIZONTES BURITIS</t>
  </si>
  <si>
    <t>KOP PR PARANAGUA ESTACAO MALL</t>
  </si>
  <si>
    <t>KOP SP REDENTORA</t>
  </si>
  <si>
    <t>KOP SP JUNDIAI SAO LAZARO</t>
  </si>
  <si>
    <t>KOP BRASILIA ASA SUL</t>
  </si>
  <si>
    <t>KOP BEST CENTER PAULINIA</t>
  </si>
  <si>
    <t>KOP DF BRASILIA GAMA MALL</t>
  </si>
  <si>
    <t>KOP AC RIO BRANCO</t>
  </si>
  <si>
    <t>KOP RJ BARRA DA TIJUCA OLEGARIO MACIEL</t>
  </si>
  <si>
    <t>KOP SP OURINHOS</t>
  </si>
  <si>
    <t>KOP SC FLORIPA CAMPECHE</t>
  </si>
  <si>
    <t>KOP MS CAMPO GRANDE</t>
  </si>
  <si>
    <t>KOP SP ALTO DE SANTANA</t>
  </si>
  <si>
    <t>KOP ARACATUBA CENTRO</t>
  </si>
  <si>
    <t>KOP SP RIBEIRAO PRETO UNIQ VERGUEIR</t>
  </si>
  <si>
    <t>KOP SP MOGI DAS CRUZES SHOP URUPEMA</t>
  </si>
  <si>
    <t>KOP MOGI DAS CRUZES ASSAI MOGILAR</t>
  </si>
  <si>
    <t>KOP SC LAGES</t>
  </si>
  <si>
    <t>KOP RJ AEROPORTO JACAREPAGUA</t>
  </si>
  <si>
    <t>KOP AM AEROPORTO MANAUS</t>
  </si>
  <si>
    <t>KOP RIBEIRAO PRETO JARDIM CANADA</t>
  </si>
  <si>
    <t>KOP SP JOAO CACHOEIRA</t>
  </si>
  <si>
    <t>KOP DF BRASILIA VICENTE PIRES</t>
  </si>
  <si>
    <t>KOP SP ATIBAIA CENTRO</t>
  </si>
  <si>
    <t>KOP GRANJA VIANA POSTO BR</t>
  </si>
  <si>
    <t>KOP MT SORRISO</t>
  </si>
  <si>
    <t>KOP TO ARAGUAINA</t>
  </si>
  <si>
    <t>KOP SC BRUSQUE CENTRO</t>
  </si>
  <si>
    <t>KOP GO ANAPOLIS</t>
  </si>
  <si>
    <t>KOP BA PORTO SEGURO SOUKI</t>
  </si>
  <si>
    <t>KOP SP DOUBLE MALL BARUERI</t>
  </si>
  <si>
    <t>KOP SP VILA GOMES CARDIM</t>
  </si>
  <si>
    <t>KOP PE CARUARU SHOPPING</t>
  </si>
  <si>
    <t>KOP SOROCABA JARDIM VERGUEIRO</t>
  </si>
  <si>
    <t>KOP SP MOOCA</t>
  </si>
  <si>
    <t>KOP RJ TRES RIOS SHOP AMERICO SILVA</t>
  </si>
  <si>
    <t>KOP GO PARK LOZANDES SHOPPING</t>
  </si>
  <si>
    <t>KOP SP PIRACICABA CENTRO</t>
  </si>
  <si>
    <t>KOP SE ITABAIANA SHOPPING PEIXOTO QSQ</t>
  </si>
  <si>
    <t>KOP SP MOGI GUACU BURITI SHOPPING</t>
  </si>
  <si>
    <t>KOP SP SAO PAULO SHOPPING RAPOSO</t>
  </si>
  <si>
    <t>KOP SP ITU NOVO CENTRO</t>
  </si>
  <si>
    <t>KOP RS POA CENTRO HISTORICO</t>
  </si>
  <si>
    <t>KOP AP AMAPA GARDEN</t>
  </si>
  <si>
    <t>KOP SP PINDAMONHANGABA PATIO PINDA</t>
  </si>
  <si>
    <t>KOP SP AVENIDA SUMARE</t>
  </si>
  <si>
    <t>KOP SP CAMPO BELO ANTONIO DE MAC SOARES</t>
  </si>
  <si>
    <t>KOP ARARAS</t>
  </si>
  <si>
    <t>KOP RJ CONDOMINIO CIDADE JARDIM</t>
  </si>
  <si>
    <t>KOP SP ITAIM BIBI JOAQUIM FLORIANO</t>
  </si>
  <si>
    <t>KOP SP NORTH SHOPPING BARRETOS</t>
  </si>
  <si>
    <t>KOP SP LINS PATIO SAN MARINO</t>
  </si>
  <si>
    <t>KOP RJ BOULEVARD MARICA</t>
  </si>
  <si>
    <t>KOP SP CATANDUVA</t>
  </si>
  <si>
    <t>KOP SP CENTRO DOM JOSE DE BARROS</t>
  </si>
  <si>
    <t>KOP MG UBERLANDIA MORADA DA COLINA</t>
  </si>
  <si>
    <t>KOP DF BRASILIA URBAN MALL &amp; OFICCE</t>
  </si>
  <si>
    <t>KOP RJ VOLTA REDONDA RUA 33</t>
  </si>
  <si>
    <t>KOP OUTLET GRANDE SP MOGI</t>
  </si>
  <si>
    <t>KOP BA FEIRA DE SANTANA GETULIO VARGAS</t>
  </si>
  <si>
    <t>KOP CAMPOS DO JORDAO</t>
  </si>
  <si>
    <t>KOP SP PRESIDENTE PRUDENTE PARQUE DO POVO</t>
  </si>
  <si>
    <t>KOP GO SH CATALAO</t>
  </si>
  <si>
    <t>KOP SP MARIA ANTONIA</t>
  </si>
  <si>
    <t>KOP GO SHOPPING VALPARAISO</t>
  </si>
  <si>
    <t>KOP FLORIANOPOLIS CENTRO</t>
  </si>
  <si>
    <t>KOP RJ NOSSA SENHORA DE COPACABANA</t>
  </si>
  <si>
    <t>KOP SP BARUERI SHOP FLAMINGO</t>
  </si>
  <si>
    <t>KOP SP SAO BERNARDO CAMPO CENTRO</t>
  </si>
  <si>
    <t>KOP SP CAMPINAS JD CHAPADAO CASTELO</t>
  </si>
  <si>
    <t>KOP SHOPPING SALVADOR NORTE</t>
  </si>
  <si>
    <t>KOP BA PITUBA</t>
  </si>
  <si>
    <t>KOP CAMPINAS CENTRO</t>
  </si>
  <si>
    <t>KOP DF ASA SUL Q 305</t>
  </si>
  <si>
    <t>KOP BA SALVADOR SHOP BELA VISTA</t>
  </si>
  <si>
    <t>KOP PR PONTA GROSSA SH PLAZA CAMPOS</t>
  </si>
  <si>
    <t>KOP MT SHOPPING TANGARA DA SERRA</t>
  </si>
  <si>
    <t>KOP GO GOIANIA BUENO T 4</t>
  </si>
  <si>
    <t>KOP PR SHOPPING SAO JOSE</t>
  </si>
  <si>
    <t>KOP SP CAMBUCI LINS DE VASCONCELOS</t>
  </si>
  <si>
    <t>KOP SP SOROCABA CONFIANCA AV SP</t>
  </si>
  <si>
    <t>KOP RJ LAGOA</t>
  </si>
  <si>
    <t>KOP SP INDAIATUBA ITAICI</t>
  </si>
  <si>
    <t>KOP RJ SHOPPING CENTER RIO</t>
  </si>
  <si>
    <t>KOP SCS AV GOIAS</t>
  </si>
  <si>
    <t>KOP BA SALVADOR PATIO PATAMARES</t>
  </si>
  <si>
    <t>KOP SP CIDADE SAO FRANCISCO</t>
  </si>
  <si>
    <t>KOP RJ COPACABANA AV N S DE COPACABANA</t>
  </si>
  <si>
    <t>KOP SP ALTO DO IPIRANGA</t>
  </si>
  <si>
    <t>KOP SP REPUBLICA DO IRAQUE</t>
  </si>
  <si>
    <t>KOP ITATIBA CENTRO</t>
  </si>
  <si>
    <t>KOP SP DIADEMA SHOP PRACA DA MOCA</t>
  </si>
  <si>
    <t>KOP CAMPINAS SHOPPING PRADO BOULEVARD</t>
  </si>
  <si>
    <t>KOP DF PIER 21</t>
  </si>
  <si>
    <t>KOP SP OSASCO PLAZA SHOPPING</t>
  </si>
  <si>
    <t>KOP SP AV IMPERATRIZ LEOPOLDINA</t>
  </si>
  <si>
    <t>KOP SP SJC SHOPPING ORIENTE</t>
  </si>
  <si>
    <t>KOP CAMPOS DOS GOYTACAZES AV PELINCA</t>
  </si>
  <si>
    <t>KOP SP ITAIM BIBI TABAPUA</t>
  </si>
  <si>
    <t>KOP SP BARRETOS</t>
  </si>
  <si>
    <t>KOP RJ JARDIM BOTANICO</t>
  </si>
  <si>
    <t>KOP ASSIS</t>
  </si>
  <si>
    <t>KOP DF BRASILIA SHOPP DECK BRASIL</t>
  </si>
  <si>
    <t>KOP LIMEIRA SHOPPING</t>
  </si>
  <si>
    <t>KOP RJ COPACABANA CASSINO ATLANTICO</t>
  </si>
  <si>
    <t>KOP SP VILA MADALENA</t>
  </si>
  <si>
    <t>KOP RJ SHOPPING UPTOWN</t>
  </si>
  <si>
    <t>KOP MG BH SANTO AGOSTINHO</t>
  </si>
  <si>
    <t>KOP TO PALMAS OPEN MALL</t>
  </si>
  <si>
    <t>KOP SP AMERICANA SH</t>
  </si>
  <si>
    <t>KOP SC TUBARAO FAROL SHOPPING</t>
  </si>
  <si>
    <t>KOP SP PINHEIROS FERREIRA DE ARAUJO</t>
  </si>
  <si>
    <t>KOP BH FUNCIONARIOS GETULIO VARGAS</t>
  </si>
  <si>
    <t>KOP CAMPINAS SHOPPING UNIMART</t>
  </si>
  <si>
    <t>KOP PASSO FUNDO SHOPPING</t>
  </si>
  <si>
    <t>KOP SP ARUJA BOULEVARD DAS PALMEIRAS</t>
  </si>
  <si>
    <t>KOP SP JARDIM MARAJOARA R MOLIERE</t>
  </si>
  <si>
    <t>KOP MG UBERABA</t>
  </si>
  <si>
    <t>KOP RIO CLARO</t>
  </si>
  <si>
    <t>KOP SP SANTOS BOQUEIRAO</t>
  </si>
  <si>
    <t>KOP MG MONTES CLAROS</t>
  </si>
  <si>
    <t>KOP SP AFONSO BRAZ</t>
  </si>
  <si>
    <t>KOP RJ LARGO DA SEGUNDA FEIRA</t>
  </si>
  <si>
    <t>KOP SP SUMARE</t>
  </si>
  <si>
    <t>KOP SP VILA BEATRIZ</t>
  </si>
  <si>
    <t>KOP DF BRASILIA SETOR NOROESTE</t>
  </si>
  <si>
    <t>KOP SP PAULINIA WINNER MALL SHOPPING</t>
  </si>
  <si>
    <t>KOP SP BUTANTA AV VITAL BRASIL</t>
  </si>
  <si>
    <t>KOP ES SERRA SHOPPING MESTRE ALVARO</t>
  </si>
  <si>
    <t>KOP MG PARTAGE SHOPPING BETIM</t>
  </si>
  <si>
    <t>KOP SP JARDIM PAULISTANO MARIO FERRAZ</t>
  </si>
  <si>
    <t>KOP SP ALPHAVILLE CAMPINAS</t>
  </si>
  <si>
    <t>KOP CAMPO GRANDE CENTRO</t>
  </si>
  <si>
    <t>KOP SP HOSPITAL SAMARITANO PAULISTA</t>
  </si>
  <si>
    <t>KOP SP CAMPINAS TAQUARAL</t>
  </si>
  <si>
    <t>KOP SP AVENIDA JABAQUARA</t>
  </si>
  <si>
    <t>KOP SP LUIS GOIS</t>
  </si>
  <si>
    <t>KOP SP SANTO ANDRE SHOP ATRIUM</t>
  </si>
  <si>
    <t>KOP NITEROI ICARAI GAVIAO PEIXOTO</t>
  </si>
  <si>
    <t>KOP ES PRAIA DO CANTO</t>
  </si>
  <si>
    <t>KOP MARINGA PARK SHOPPING</t>
  </si>
  <si>
    <t>KOP BH ASSEMBLEIA</t>
  </si>
  <si>
    <t>KOP SP VILA PROGREDIOR R TRES IRMAOS</t>
  </si>
  <si>
    <t>KOP SP CAMPO BELO VIEIRA DE MORAES</t>
  </si>
  <si>
    <t>KOP SP BAURU PARQUE ESTORIL</t>
  </si>
  <si>
    <t>KOP SP SUZANO SHOPPING</t>
  </si>
  <si>
    <t>KOP PR CURITIBA CABRAL MUNHOZ DA ROCHA</t>
  </si>
  <si>
    <t>KOP DF BRASILIA ASA SUL CLS 201</t>
  </si>
  <si>
    <t>KOP RJ CADIMA SHOPPING QSQ</t>
  </si>
  <si>
    <t>KOP SUMARE PARKCITY</t>
  </si>
  <si>
    <t>KOP MACAE CAVALEIROS</t>
  </si>
  <si>
    <t>KOP SP SHOPPING CAMPO LIMPO</t>
  </si>
  <si>
    <t>KOP PR CURITIBA SHOPPING CRYSTAL</t>
  </si>
  <si>
    <t>KOP RJ WEST SHOPPING</t>
  </si>
  <si>
    <t>KOP GUARAPUAVA SHOPPING CIDADE DOS LAGOS</t>
  </si>
  <si>
    <t>KOP DF BRASILIA ASA NORTE</t>
  </si>
  <si>
    <t>KOP RJ RODRIGO SILVA</t>
  </si>
  <si>
    <t>KOP SP CAMPINAS PQ DAS BANDEIRAS SH</t>
  </si>
  <si>
    <t>KOP SP SJC PATIO DAS AMERICAS</t>
  </si>
  <si>
    <t>KOP RJ TIJUCA AFONSO PENA</t>
  </si>
  <si>
    <t>KOP MG JUIZ DE FORA CENTRO</t>
  </si>
  <si>
    <t>KOP SUDOESTE PLATINUM MALL</t>
  </si>
  <si>
    <t>KOP MG BELO HORIZONTE RAJA GABAGLIA</t>
  </si>
  <si>
    <t>KOP RJ CONDE DE BONFIM 670</t>
  </si>
  <si>
    <t>KOP SC AEROPORTO FLORIANOPOLIS</t>
  </si>
  <si>
    <t>KOP SP JARDIM BONFIGLIOLI</t>
  </si>
  <si>
    <t>KOP SP UBATUBA MALL AEROPORTO</t>
  </si>
  <si>
    <t>KOP GO GOIANIA MARISTA</t>
  </si>
  <si>
    <t>KOP SP BROOKLIN PAULISTA</t>
  </si>
  <si>
    <t>KOP RJ SHOP BOULEVARD CAMPOS</t>
  </si>
  <si>
    <t>KOP BA ITAIGARA</t>
  </si>
  <si>
    <t>KOP MT AEROPORTO CUIABA</t>
  </si>
  <si>
    <t>KOP RJ COPACABANA XAVIER DA SILVEIRA</t>
  </si>
  <si>
    <t>KOP SP MORUMBI TOWN</t>
  </si>
  <si>
    <t>KOP RJ NOVA FRIBURGO</t>
  </si>
  <si>
    <t>KOP SP SAO JOSE DO RIO PRETO AEROPORTO</t>
  </si>
  <si>
    <t>KOP MS SHOPPING NORTE SUL PLAZA</t>
  </si>
  <si>
    <t>KOP SP CERQUEIRA CESAR AUGUSTA</t>
  </si>
  <si>
    <t>KOP SP TATUAPE EMILIA MARENGO</t>
  </si>
  <si>
    <t>KOP PR UMUARAMA</t>
  </si>
  <si>
    <t>KOP SP CANTAREIRA NORTE SHOPPING</t>
  </si>
  <si>
    <t>KOP POUSO ALEGRE CENTRO</t>
  </si>
  <si>
    <t>KOP SP PARQUE SHOPPING BARUERI</t>
  </si>
  <si>
    <t>KOP SP HIGIENOPOLIS ALAGOAS</t>
  </si>
  <si>
    <t>KOP SP SOROCABA SUPERMERCADO TAUSTE</t>
  </si>
  <si>
    <t>KOP SAO JOAO DA BOA VISTA</t>
  </si>
  <si>
    <t>KOP SP HIGIENOPOLIS RUA MATO GROSSO</t>
  </si>
  <si>
    <t>KOP SP SANTO ANDRE CENTRO</t>
  </si>
  <si>
    <t>KOP MA AEROPORTO SAO LUIS MARECHAL CUNHA MACHADO</t>
  </si>
  <si>
    <t>KOP RJ MADUREIRA SHOPPING</t>
  </si>
  <si>
    <t>KOP SP SAO JOSE DOS CAMPOS TAUSTE</t>
  </si>
  <si>
    <t>KOP MARINGA CATUAI SHOPPING</t>
  </si>
  <si>
    <t>KOP SP ACLIMACAO</t>
  </si>
  <si>
    <t>KOP CAMPINAS BEST CENTER CHACARA PRIMAVERA</t>
  </si>
  <si>
    <t>KOP SP PATTEO KLABIN</t>
  </si>
  <si>
    <t>KOP CAMPINAS GRAMADO MALL</t>
  </si>
  <si>
    <t>KOP SP JUNDIAI MALOTA</t>
  </si>
  <si>
    <t>KOP RJ RIO DE JANEIRO PARQUE SULACAP</t>
  </si>
  <si>
    <t>KOP SP HOSPITAL SAO LUIZ JABAQUARA</t>
  </si>
  <si>
    <t>KOP RJ TAQUARA SHOPPING</t>
  </si>
  <si>
    <t>KOP CE CARIRI GARDEN SHOPPING</t>
  </si>
  <si>
    <t>KOP GO SHOPPING CERRADO</t>
  </si>
  <si>
    <t>KOP BH MANGABEIRAS</t>
  </si>
  <si>
    <t>KOP SP JARDIM PAULISTA PAMPLONA</t>
  </si>
  <si>
    <t>KOP SP PLANALTO PAULISTA</t>
  </si>
  <si>
    <t>KOP AL MACEIO JOSE FREIRE</t>
  </si>
  <si>
    <t>KOP RJ SHOPPING BANGU</t>
  </si>
  <si>
    <t>KOP ITAJAI SHOPPING</t>
  </si>
  <si>
    <t>KOP MT CUIABA SHOP 3 AMERICAS</t>
  </si>
  <si>
    <t>KOP RJ CENTRO NILO PECANHA</t>
  </si>
  <si>
    <t>KOP RJ BUZIOS PORTO DA BARRA</t>
  </si>
  <si>
    <t>KOP PETROPOLIS ITAIPAVA SHOPPING</t>
  </si>
  <si>
    <t>KOP RIBEIRAO PRETO SHOPPING SANTA URSULA</t>
  </si>
  <si>
    <t>KOP PETROPOLIS R DEZESSEIS DE MARCO</t>
  </si>
  <si>
    <t>KOP VOLTA REDONDA SIDER SHOPPING</t>
  </si>
  <si>
    <t>KOP MG ITAU POWER SHOPPING</t>
  </si>
  <si>
    <t>KOP SP JAGUARIUNA</t>
  </si>
  <si>
    <t>KOP SP CAMPINAS SWISS PARK</t>
  </si>
  <si>
    <t>KOP DF BOTANIC MALL</t>
  </si>
  <si>
    <t>KOP RJ EDIFICIO MANCHETE</t>
  </si>
  <si>
    <t>KOP SP MOOCA PAES DE BARROS</t>
  </si>
  <si>
    <t>KOP PR CURITIBA SHOP JARDIM DAS AME</t>
  </si>
  <si>
    <t>KOP RIBEIRAO PRETO NOVO SHOPPING</t>
  </si>
  <si>
    <t>KOP SP CCS VILA MARIANA</t>
  </si>
  <si>
    <t>KOP SP VILA ROMANA</t>
  </si>
  <si>
    <t>KOP SP INDAIATUBA JD ESPLANADA</t>
  </si>
  <si>
    <t>KOP SANTOS GONZAGA</t>
  </si>
  <si>
    <t>KOP RJ DUQUE DE CAXIAS SHOPPING</t>
  </si>
  <si>
    <t>KOP SP SAO PAULO HOSP LEFORTE LIBERDADE</t>
  </si>
  <si>
    <t>KOP ITABUNA SHOPPING JEQUITIBA</t>
  </si>
  <si>
    <t>KOP SP GUARULHOS NAGUMO ANEL VIARIO</t>
  </si>
  <si>
    <t>KOP SP TAUBATE SUP TAUSTE</t>
  </si>
  <si>
    <t>KOP SP MOEMA BEM TE VI</t>
  </si>
  <si>
    <t>KOP SP INTERLAR ARICANDUVA</t>
  </si>
  <si>
    <t>KOP SP SAO PAULO VERBO DIVINO</t>
  </si>
  <si>
    <t>KOP SP NOVA CAMPINAS</t>
  </si>
  <si>
    <t>KOP MT VARZEA GRANDE AERO CUIABA</t>
  </si>
  <si>
    <t>KOP SP MARES ILHABELA</t>
  </si>
  <si>
    <t>KOP ITUPEVA OUTLET PREMIUM</t>
  </si>
  <si>
    <t>KOP SP FAGUNDES FILHO</t>
  </si>
  <si>
    <t>KOP SP HOSPITAL SAO LUIZ ANALIA FRANCO</t>
  </si>
  <si>
    <t>KOP BH HOSPITAL MATER DEI SANTO AGOSTINHO</t>
  </si>
  <si>
    <t>KOP RJ LEBLON ATAULFO DE PAIVA 135</t>
  </si>
  <si>
    <t>KOP SCS HOSPITAL SAO LUIZ</t>
  </si>
  <si>
    <t>KOP BURITI SHOP. GUARA</t>
  </si>
  <si>
    <t>KOP RJ EDIFICIO SUBSEA 7</t>
  </si>
  <si>
    <t>KOP TO ARAGUAINA SHOP LAGO CENTER</t>
  </si>
  <si>
    <t>KOP SP BROOKLIN PE JOSE ANT DOS SANTOS</t>
  </si>
  <si>
    <t>KOP SP ALTO DE PINHEIROS</t>
  </si>
  <si>
    <t>KOP SP BOA VISTA SHOPPING</t>
  </si>
  <si>
    <t>KOP RJ FREGUESIA</t>
  </si>
  <si>
    <t>KOP BH MINAS SHOPPING</t>
  </si>
  <si>
    <t>KOP NOVA LIMA STREET MALL NAVEGANTES</t>
  </si>
  <si>
    <t>KOP BOTUCATU CENTRO</t>
  </si>
  <si>
    <t>KOP SP OUTLET SANTA MARIA RIBEIRAO</t>
  </si>
  <si>
    <t>KOP RJ CASA SHOPPING</t>
  </si>
  <si>
    <t>KOP SP PORTAL DO MORUMBI</t>
  </si>
  <si>
    <t>KOP RJ SHOPPING PATIO PETROPOLIS</t>
  </si>
  <si>
    <t>KOP CAMPINAS SOUSAS</t>
  </si>
  <si>
    <t>KOP SP CAMPINAS BARAO GERALDO CID</t>
  </si>
  <si>
    <t>KOP PR HOSP ECO CURITIBA</t>
  </si>
  <si>
    <t>KOP PARK SHOPPING CANOAS</t>
  </si>
  <si>
    <t>KOP PI TERESINA JOQUEI</t>
  </si>
  <si>
    <t>KOP SP PARK SHOPPING BOTUCATU</t>
  </si>
  <si>
    <t>KOP SC BLUMENAU SHOPPING H</t>
  </si>
  <si>
    <t>KOP SP VILA CLEMENTINO PEDRO DE TOLEDO</t>
  </si>
  <si>
    <t>KOP PE RECIFE SHOP TACARUNA NOVO 02</t>
  </si>
  <si>
    <t>KOP NITEROI SAO FRANCISCO</t>
  </si>
  <si>
    <t>KOP SAO BERNARDO DO CAMPO VILA MARLENE</t>
  </si>
  <si>
    <t>KOP VINHEDO CENTRO</t>
  </si>
  <si>
    <t>KOP BH SHOPPING CIDADE</t>
  </si>
  <si>
    <t>KOP PA MARABA</t>
  </si>
  <si>
    <t>KOP POA BOURBON IPIRANGA</t>
  </si>
  <si>
    <t>KOP SP VILA NOVA CONCEICAO</t>
  </si>
  <si>
    <t>KOP SP TRIX TAMBORE</t>
  </si>
  <si>
    <t>KOP SP PINHEIROS TEODORO SAMPAIO</t>
  </si>
  <si>
    <t>KOP SP BARUERI ALPHAVILLE 18 DO FORTE</t>
  </si>
  <si>
    <t>KOP CE TERRAZO EUSEBIO FORTALEZA</t>
  </si>
  <si>
    <t>KOP SAO JOSE CONTINENTE SHOPPING</t>
  </si>
  <si>
    <t>KOP SP PANAMBY</t>
  </si>
  <si>
    <t>KOP JOAO PESSOA MAG SHOPPING</t>
  </si>
  <si>
    <t>KOP RECIFE PLAZA SHOPPING</t>
  </si>
  <si>
    <t>KOP RS AEROPORTO SALGADO FILHO</t>
  </si>
  <si>
    <t>KOP SP CHACARA KLABIN</t>
  </si>
  <si>
    <t>KOP GOIANIA BUENA VISTA SHOPPING</t>
  </si>
  <si>
    <t>KOP BA SALVADOR SHOP CIDADE</t>
  </si>
  <si>
    <t>KOP BRAGANCA PAULISTA CENTRO</t>
  </si>
  <si>
    <t>KOP SP SHOPPING PATIO LIMEIRA</t>
  </si>
  <si>
    <t>KOP SP SANTOS KOP PATIO IPORANGA</t>
  </si>
  <si>
    <t>KOP POCOS DE CALDAS CENTRO</t>
  </si>
  <si>
    <t>KOP PRUDEN SHOPPING</t>
  </si>
  <si>
    <t>KOP PALLADIUM SHOPPING CENTER PONTA GROSSA</t>
  </si>
  <si>
    <t>KOP SC CRICIUMA NACOES SHOPPING</t>
  </si>
  <si>
    <t>KOP PR CASCAVEL SHOPPING CATUAI</t>
  </si>
  <si>
    <t>KOP SAO CARLOS CENTRO</t>
  </si>
  <si>
    <t>KOP JOAO PESSOA MANAIRA SHOPPING</t>
  </si>
  <si>
    <t>KOP RJ AMERICAS MEDICAL CITY</t>
  </si>
  <si>
    <t>KOP CE COMPLEXO PATIO DOM LUIS</t>
  </si>
  <si>
    <t>KOP RJ SHOPPING PLAZA RIO DAS OSTRA</t>
  </si>
  <si>
    <t>KOP PR CURITIBA BATEL PRACA JAPAO</t>
  </si>
  <si>
    <t>KOP SP SE PRACA JOAO MENDES</t>
  </si>
  <si>
    <t>KOP PR BIGORRILHO ANCHIETA</t>
  </si>
  <si>
    <t>KOP CARAGUATATUBA SERRA MAR PRAIA SHOPP</t>
  </si>
  <si>
    <t>KOP CENTRO CIVICO</t>
  </si>
  <si>
    <t>KOP SP PARAISO H COR</t>
  </si>
  <si>
    <t>KOP SCS JD. BARCELONA</t>
  </si>
  <si>
    <t>KOP SP JABAQUARA SAMS CLUB</t>
  </si>
  <si>
    <t>KOP SP SHOPPING BOULEVAR TATUAPE</t>
  </si>
  <si>
    <t>KOP SP COM VEM REBOUCAS</t>
  </si>
  <si>
    <t>KOP SANTA BARBARA DO OESTE TIVOLI S</t>
  </si>
  <si>
    <t>KOP DF BRASILIA SH AGUAS CLARAS</t>
  </si>
  <si>
    <t>KOP RJ SHOPPING NOVA IGUACU</t>
  </si>
  <si>
    <t>KOP PB CAMPINA GRANDE SHOPPING PART</t>
  </si>
  <si>
    <t>KOP SBC PRESTES MAIA</t>
  </si>
  <si>
    <t>KOP GO ALPHA MALL GOIANIA</t>
  </si>
  <si>
    <t>KOP SP BARUERI ALPHASHOPPING</t>
  </si>
  <si>
    <t>KOP SP PERDIZES CARDOSO DE ALMEIDA</t>
  </si>
  <si>
    <t>KOP NATAL PETROPOLIS</t>
  </si>
  <si>
    <t>KOP SP VILA MASCOTE</t>
  </si>
  <si>
    <t>KOP SP IPIRANGA BOM PASTOR</t>
  </si>
  <si>
    <t>KOP NOVA LIMA VILA DA SERRA</t>
  </si>
  <si>
    <t>KOP SANTO ANDRE HOSP E MAT BRASIL</t>
  </si>
  <si>
    <t>KOP MAUA PLAZA SHOPPING</t>
  </si>
  <si>
    <t>KOP SHOPPING PRACA NOVA ARACATUBA</t>
  </si>
  <si>
    <t>KOP BH HOSPITAL MATER DEI CONTORNO</t>
  </si>
  <si>
    <t>KOP CASCAVEL JL SHOPPING</t>
  </si>
  <si>
    <t>KOP SP PIRACICABA</t>
  </si>
  <si>
    <t>KOP SP GUARULHOS BOSQUE MAIA</t>
  </si>
  <si>
    <t>KOP RJ NITEROI JARDIM ICARAI</t>
  </si>
  <si>
    <t>KOP RJ ANGRA DOS REIS SHOP PIRATAS</t>
  </si>
  <si>
    <t>KOP SP SANTO AMARO ALEXANDRE DUMAS</t>
  </si>
  <si>
    <t>KOP PR PATO BRANCO</t>
  </si>
  <si>
    <t>KOP SP JABAQUARA ENG ARMANDO A PEREIRA</t>
  </si>
  <si>
    <t>KOP BH SHOPPING DIAMOND MALL</t>
  </si>
  <si>
    <t>KOP SAO JOSE DOS CAMPOS SHOPPING COLINAS</t>
  </si>
  <si>
    <t>KOP SP FRANCA EASY CENTER</t>
  </si>
  <si>
    <t>KOP SP PATIO OSASCO</t>
  </si>
  <si>
    <t>KOP JAU SHOPPING</t>
  </si>
  <si>
    <t>KOP BH SHOPPING PATIO SAVASSI</t>
  </si>
  <si>
    <t>KOP MARILIA SUPERMERCADO CONFIANCA</t>
  </si>
  <si>
    <t>KOP RJ SHOPPING FASHION MALL</t>
  </si>
  <si>
    <t>KOP LONDRINA AURORA SHOPPING</t>
  </si>
  <si>
    <t>KOP CURITIBA SHOPPING NOVO BATEL</t>
  </si>
  <si>
    <t>KOP AM AMAZONAS SHOPPING</t>
  </si>
  <si>
    <t>KOP SP RUA TUIUTI</t>
  </si>
  <si>
    <t>KOP SP SHOPPING METRO TUCURUVI</t>
  </si>
  <si>
    <t>KOP JL SHOPPING FOZ DO IGUACU</t>
  </si>
  <si>
    <t>KOP SHOPPING TRES LAGOAS</t>
  </si>
  <si>
    <t>KOP SP SHOPPING ARICANDUVA</t>
  </si>
  <si>
    <t>KOP MACEIO JATIUCA</t>
  </si>
  <si>
    <t>KOP SP IPIRANGA</t>
  </si>
  <si>
    <t>KOP SP SHOPPING JARDIM SUL PISO TERREO</t>
  </si>
  <si>
    <t>KOP SP VILA CLEMENTINO BORGES LAGOA</t>
  </si>
  <si>
    <t>KOP SP ALTO DAS NACOES</t>
  </si>
  <si>
    <t>KOP SHOPPING BURITI RIO VERDE</t>
  </si>
  <si>
    <t>KOP MG UBERLANDIA COMPLEXO VINHEDO</t>
  </si>
  <si>
    <t>KOP SALVADOR BARRA SHOPPING</t>
  </si>
  <si>
    <t>KOP SP OSCAR FREIRE 1092</t>
  </si>
  <si>
    <t>KOP DF AEROPORTO INTERNACIONAL DE BRASILIA</t>
  </si>
  <si>
    <t>KOP SC JARAGUA DO SUL PARTAGE</t>
  </si>
  <si>
    <t>KOP SP SHOPPING PENHA</t>
  </si>
  <si>
    <t>KOP GOIANIA ORION</t>
  </si>
  <si>
    <t>KOP PLAZA SHOPPING ITU</t>
  </si>
  <si>
    <t>KOP MARILIA SHOPPING</t>
  </si>
  <si>
    <t>KOP DF BRASILIA AEROPORTO INTERNACIONAL II</t>
  </si>
  <si>
    <t>KOP POA BELA VISTA</t>
  </si>
  <si>
    <t>KOP SP CENTRO LIBERO BADARO</t>
  </si>
  <si>
    <t>KOP ATIBAIA JARDIM DO LAGO</t>
  </si>
  <si>
    <t>KOP RJ SHOPPING PARK SUL</t>
  </si>
  <si>
    <t>KOP RJ BOSSA NOVA MALL</t>
  </si>
  <si>
    <t>KOP INDAIATUBA CIDADE NOVA</t>
  </si>
  <si>
    <t>KOP GO ANAPOLIS BRASIL PARK SHOP</t>
  </si>
  <si>
    <t>KOP MG AEROPORTO CONFINS DESEMBARQUE 2</t>
  </si>
  <si>
    <t>KOP SP HOSPITAL SAMARITANO</t>
  </si>
  <si>
    <t>KOP SP CAMPINAS CAMBUI</t>
  </si>
  <si>
    <t>KOP ES AEROPORTO VITORIA</t>
  </si>
  <si>
    <t>KOP SHOPPING SINOP</t>
  </si>
  <si>
    <t>KOP RS PORTO ALEGRE B CARLOS GOMES</t>
  </si>
  <si>
    <t>KOP SC ITAPEMA PIER O PORTO</t>
  </si>
  <si>
    <t>KOP SP SHOPPING LAR CENTER</t>
  </si>
  <si>
    <t>KOP RONDON PLAZA SHOPPING</t>
  </si>
  <si>
    <t>KOP RJ TIJUCA SOARES DA COSTA</t>
  </si>
  <si>
    <t>KOP RJ SHOPPING BARRA GARDEN</t>
  </si>
  <si>
    <t>KOP SP SHOPPING WEST PLAZA</t>
  </si>
  <si>
    <t>KOP SBC PLAZA SHOPPING</t>
  </si>
  <si>
    <t>KOP SP VILA OLIMPIA</t>
  </si>
  <si>
    <t>KOP JOINVILLE SHOPPING MULLER</t>
  </si>
  <si>
    <t>KOP SP SHOPPING MARKET PLACE</t>
  </si>
  <si>
    <t>KOP SP LIBERDADE</t>
  </si>
  <si>
    <t>KOP SP BELENZINHO</t>
  </si>
  <si>
    <t>KOP RJ CENTRO PRACA MAUA</t>
  </si>
  <si>
    <t>KOP SHOPPING PATIO CHAPECO</t>
  </si>
  <si>
    <t>KOP VIA CAFE GARDEN SHOPPING</t>
  </si>
  <si>
    <t>KOP SP HOSPITAL CEMA</t>
  </si>
  <si>
    <t>KOP CURITIBA PALLADIUM SHOPPING CENTER</t>
  </si>
  <si>
    <t>KOP SALVADOR SHOPPING</t>
  </si>
  <si>
    <t>KOP SP TRIMAIS PLACES</t>
  </si>
  <si>
    <t>KOP SP SHOPPING VALINHOS</t>
  </si>
  <si>
    <t>KOP PARQUE SHOPPING LAURO DE FREITA</t>
  </si>
  <si>
    <t>KOP TERESINA RIVERSIDE SHOPPING</t>
  </si>
  <si>
    <t>KOP SP SANTANA PARQUE SHOPPING</t>
  </si>
  <si>
    <t>KOP SJRP PLAZA AV SHOPPING</t>
  </si>
  <si>
    <t>KOP SP VILA LEOPOLDINA</t>
  </si>
  <si>
    <t>KOP VILA VELHA SHOP PRAIA DA COSTA</t>
  </si>
  <si>
    <t>KOP RJ IPANEMA MARIA QUITERIA</t>
  </si>
  <si>
    <t>KOP IPANEMA VISCONDE DE PIRAJA</t>
  </si>
  <si>
    <t>KOP RJ PENINSULA OPEN MALL</t>
  </si>
  <si>
    <t>KOP PI SHOPPING RIO POTY</t>
  </si>
  <si>
    <t>KOP OUTLET PREMIUM RIO DE JANEIRO</t>
  </si>
  <si>
    <t>KOP RJ ESTUDIOS GLOBO</t>
  </si>
  <si>
    <t>KOP SP AV NHAMBIQUARAS</t>
  </si>
  <si>
    <t>KOP SHOPPING NACOES BAURU</t>
  </si>
  <si>
    <t>KOP SP SHOPPING LIGHT</t>
  </si>
  <si>
    <t>KOP SHOPPING UNIAO DE OSASCO</t>
  </si>
  <si>
    <t>KOP RJ COPACABANA FIGUEIREDO MAGALHAES</t>
  </si>
  <si>
    <t>KOP SHOPPING DA BAHIA</t>
  </si>
  <si>
    <t>KOP SP SHOPPING JARDIM SUL PISO 2</t>
  </si>
  <si>
    <t>KOP SP SHOPPING METRO TATUAPE</t>
  </si>
  <si>
    <t>KOP RJ FLAMENGO</t>
  </si>
  <si>
    <t>KOP SP BELA VISTA</t>
  </si>
  <si>
    <t>KOP SHOPPING TABOAO</t>
  </si>
  <si>
    <t>KOP ARARAQUARA SHOPPING JARAGUA</t>
  </si>
  <si>
    <t>KOP SP SHOPPING METRO ITAQUERA</t>
  </si>
  <si>
    <t>KOP FLORIANOPOLIS FLORIPA SHOPPING JOAO PAULO</t>
  </si>
  <si>
    <t>KOP SHOPPING IGUATEMI CAXIAS DO SUL</t>
  </si>
  <si>
    <t>KOP CAMPINAS VENTURA MALL</t>
  </si>
  <si>
    <t>KOP GOIANIA SHOPPING BOUGAINVILLE</t>
  </si>
  <si>
    <t>KOP RJ VOGUE SQUARE</t>
  </si>
  <si>
    <t>KOP SAO ROQUE CATARINA FASHION OUTLET</t>
  </si>
  <si>
    <t>KOP SP SUPERMERCADO TAUSTE CAMPINAS</t>
  </si>
  <si>
    <t>KOP SHOPPING CASA &amp; GOURMET</t>
  </si>
  <si>
    <t>KOP DF SHOPPING CASA PARK</t>
  </si>
  <si>
    <t>KOP SAO JOAO DE MERITI SHOPP GRANDE RIO</t>
  </si>
  <si>
    <t>KOP UBERLANDIA SHOPPING</t>
  </si>
  <si>
    <t>KOP SP BRAGANCA GARDEN</t>
  </si>
  <si>
    <t>KOP MG AEROPORTO CONFINS SAGUAO</t>
  </si>
  <si>
    <t>KOP BH SHOPPING</t>
  </si>
  <si>
    <t>KOP FLORIANOPOLIS PRIMAVERA OFFICE</t>
  </si>
  <si>
    <t>KOP TERESOPOLIS SHOPPING CENTER</t>
  </si>
  <si>
    <t>KOP SAO JOSE DOS CAMPOS VALE SUL SHOPP</t>
  </si>
  <si>
    <t>KOP SP BROOKLIN FLORIDA</t>
  </si>
  <si>
    <t>KOP SP SAO VICENTE BRISAMAR SHOP</t>
  </si>
  <si>
    <t>KOP SP AV MOEMA</t>
  </si>
  <si>
    <t>KOP BA SHOPPING PARALELA</t>
  </si>
  <si>
    <t>KOP BURITI SHOPPING APARECIDA DE GOIANIA</t>
  </si>
  <si>
    <t>KOP SP SANTANA BRAZ LEME</t>
  </si>
  <si>
    <t>KOP SP AV FARIA LIMA</t>
  </si>
  <si>
    <t>KOP SP RUA PIRAPORA</t>
  </si>
  <si>
    <t>KOP PETROLINA SHOPPING RIVER</t>
  </si>
  <si>
    <t>KOP CURITIBA SHOPPING ESTACAO</t>
  </si>
  <si>
    <t>KOP SP POLO SHOPPIING INDAIATUBA</t>
  </si>
  <si>
    <t>KOP SP VILA MARIANA DOMINGOS DE MORAES</t>
  </si>
  <si>
    <t>KOP IMPERATRIZ IMPERIAL SHOPPING</t>
  </si>
  <si>
    <t>KOP RJ CENTRO RIO BRANCO 151</t>
  </si>
  <si>
    <t>KOP SANTO ANDRE JARDIM BANDEIRAS</t>
  </si>
  <si>
    <t>KOP MACEIO SHOPPING</t>
  </si>
  <si>
    <t>KOP RIO PRETO SHOPPING CENTER</t>
  </si>
  <si>
    <t>KOP SP PRAIA ENSEADA</t>
  </si>
  <si>
    <t>KOP SP JD PAMPLONA SHOPPING</t>
  </si>
  <si>
    <t>KOP RJ PARK SHOPP CAMPO GRANDE</t>
  </si>
  <si>
    <t>KOP SHOPPING JOCKEY CURITIBA</t>
  </si>
  <si>
    <t>KOP PA BELEM SHOP BOSQUE GRAO PARA</t>
  </si>
  <si>
    <t>KOP OUTLET IMIGRANTES</t>
  </si>
  <si>
    <t>KOP JUNDIAI PAINEIRAS SHOPPING</t>
  </si>
  <si>
    <t>KOP SHOPPING CURITIBA</t>
  </si>
  <si>
    <t>KOP GUARUJA SHOPPING LA PLAGE</t>
  </si>
  <si>
    <t>KOP SP SHOPPING INTERLAGOS</t>
  </si>
  <si>
    <t>KOP BOULEVARD MOGI GUACU</t>
  </si>
  <si>
    <t>KOP SUPER SHOPPING OSASCO</t>
  </si>
  <si>
    <t>KOP RJ SHOPPING ILHA PLAZA</t>
  </si>
  <si>
    <t>KOP SP MOEMA INHAMBU</t>
  </si>
  <si>
    <t>KOP I FASHION OUTLET NOVO HAMBURGO</t>
  </si>
  <si>
    <t>KOP AEROPORTO DE CURITIBA</t>
  </si>
  <si>
    <t>KOP DF BRASILIA SHOPPING VENANCIO</t>
  </si>
  <si>
    <t>KOP SHOPPING IGUATEMI PORTO ALEGRE</t>
  </si>
  <si>
    <t>KOP GILBERTO SALOMAO</t>
  </si>
  <si>
    <t>KOP SHOPPING IGUATEMI RIBEIRAO PRETO</t>
  </si>
  <si>
    <t>KOP BLUMENAU NEUMARKT SHOPPING</t>
  </si>
  <si>
    <t>KOP FLORIANOPOLIS JURERE INTERNACIONAL</t>
  </si>
  <si>
    <t>KOP RJ NITEROI HOSPITAL CHN</t>
  </si>
  <si>
    <t>KOP TAUBATE SHOPPING CENTER</t>
  </si>
  <si>
    <t>KOP SP MALL BRAVO PAULISTA</t>
  </si>
  <si>
    <t>KOP STO ANDRE JARDIM BELA VISTA PORTUGAL</t>
  </si>
  <si>
    <t>KOP RJ BOTAFOGO EDIFICO ARGENTINA</t>
  </si>
  <si>
    <t>KOP SBC GOLDEN SQUARE SHOPPING</t>
  </si>
  <si>
    <t>KOP RJ PLAZA MACAE</t>
  </si>
  <si>
    <t>KOP FEIRA DE SANTANA BOULEVARD SHOPPING</t>
  </si>
  <si>
    <t>KOP CAXIAS DO SUL W TOWER</t>
  </si>
  <si>
    <t>KOP SP CAMPINAS VIRACOPOS QSQ II</t>
  </si>
  <si>
    <t>KOP SHOPPING GRANJA VIANA</t>
  </si>
  <si>
    <t>KOP SP HOSPITAL ALBERT EINSTEIN MORUMBI</t>
  </si>
  <si>
    <t>KOP RJ AMERICAS SHOPPING</t>
  </si>
  <si>
    <t>KOP SHOPPING CENTER UBERABA</t>
  </si>
  <si>
    <t>KOP RJ CARIOCA SHOPPING</t>
  </si>
  <si>
    <t>KOP BRASCAN JOAQUIM FLORIANO</t>
  </si>
  <si>
    <t>KOP DF AGUAS CLARAS MANHATTAN SHOP</t>
  </si>
  <si>
    <t>KOP CAMPINAS SHOPPING</t>
  </si>
  <si>
    <t>KOP RJ LEBLON ATAULFO DE PAIVA</t>
  </si>
  <si>
    <t>KOP MG JUIZ DE FORA INDEPENDENCIA SHOPPING</t>
  </si>
  <si>
    <t>KOP TAGUATINGA SHOPPING</t>
  </si>
  <si>
    <t>KOP SP SHOPPING IGUATEMI JK</t>
  </si>
  <si>
    <t>KOP MOGI SHOPPING</t>
  </si>
  <si>
    <t>KOP CATUAI SHOPPING LONDRINA</t>
  </si>
  <si>
    <t>KOP SALVADOR SHOPPING QUIOSQUE</t>
  </si>
  <si>
    <t>KOP GUARULHOS PARQUE SHOPPING MAIA</t>
  </si>
  <si>
    <t>KOP SP MORUMBI CORPORATE</t>
  </si>
  <si>
    <t>KOP RJ BOULEVARD CIDADE NOVA</t>
  </si>
  <si>
    <t>KOP SP CAMPO BELO BERNARDINO DE CAMPOS</t>
  </si>
  <si>
    <t>KOP SP SHOPPING CIDADE JARDIM</t>
  </si>
  <si>
    <t>KOP BALNEARIO CAMBORIU SHOPPING</t>
  </si>
  <si>
    <t>KOP SP SHOPPING FREI CANECA</t>
  </si>
  <si>
    <t>KOP SP SHOPPING IBIRAPUERA P IBIRAPUERA</t>
  </si>
  <si>
    <t>KOP NATAL SHOPPING</t>
  </si>
  <si>
    <t>KOP RJ LARANJEIRAS MALL</t>
  </si>
  <si>
    <t>KOP SC AEROPORTO NAVEGANTES</t>
  </si>
  <si>
    <t>KOP SHOPPING IGUATEMI ALPHAVILLE</t>
  </si>
  <si>
    <t>KOP BH SHOPPING DEL REY</t>
  </si>
  <si>
    <t>KOP RJ VIA PARQUE SHOPPING</t>
  </si>
  <si>
    <t>KOP AL MACEIO AEROPORTO ZUMBI DOS PALMARES</t>
  </si>
  <si>
    <t>KOP BRASILIA BOULEVARD SHOPPING</t>
  </si>
  <si>
    <t>KOP SP TRIANON PAULISTA</t>
  </si>
  <si>
    <t>KOP SAO CARLOS SHOPPING CENTER IGUATEMI</t>
  </si>
  <si>
    <t>KOP RJ RECREIO SHOPPING</t>
  </si>
  <si>
    <t>KOP SJC CENTER VALE SHOPP</t>
  </si>
  <si>
    <t>KOP BAURU SHOPPING</t>
  </si>
  <si>
    <t>KOP NITEROI SHOPPING ITAIPU MULTICENTER</t>
  </si>
  <si>
    <t>KOP SAO JOSE SHOPPING ITAGUACU</t>
  </si>
  <si>
    <t>KOP BRASILIA TERRACO SHOPPING</t>
  </si>
  <si>
    <t>KOP BRASILIA PARK SHOPPING</t>
  </si>
  <si>
    <t>KOP FRANCA SHOPPING</t>
  </si>
  <si>
    <t>KOP VILLA ROMANA SHOPPING</t>
  </si>
  <si>
    <t>KOP AEROPORTO DE GOIANIA</t>
  </si>
  <si>
    <t>KOP SP CLUBE PAINEIRAS</t>
  </si>
  <si>
    <t>KOP SP SHOPPING SP MARKET</t>
  </si>
  <si>
    <t>KOP POA BARRA SHOPPING SUL</t>
  </si>
  <si>
    <t>KOP GRANJA VIANA SHOP THE SQUARE</t>
  </si>
  <si>
    <t>KOP SP SHOPPING PARQUE DA CIDADE</t>
  </si>
  <si>
    <t>KOP GOIANIA FLAMBOYANT SHOPPING CENTER</t>
  </si>
  <si>
    <t>KOP BRASILIA LIBERTY MALL</t>
  </si>
  <si>
    <t>KOP FLORIANOPOLIS BEIRAMAR SHOPPING</t>
  </si>
  <si>
    <t>KOP GOIANIA SHOPPING PASSEIO DAS AGUAS</t>
  </si>
  <si>
    <t>KOP SAO LUIS SHOPPING DA ILHA</t>
  </si>
  <si>
    <t>KOP POA MOINHOS SHOPPING</t>
  </si>
  <si>
    <t>KOP RJ JACAREPAGUA</t>
  </si>
  <si>
    <t>KOP PR AERO INTER FOZ DO IGUAÇU</t>
  </si>
  <si>
    <t>KOK GOIANIA FLAMBOYANT SHOPPING QSQ</t>
  </si>
  <si>
    <t>KOP RJ DOWNTOWN</t>
  </si>
  <si>
    <t>KOP SHOPPING PIRACICABA</t>
  </si>
  <si>
    <t>KOP SOROCABA SHOPPING IGUATEMI</t>
  </si>
  <si>
    <t>KOP RJ SHOPPING VILLAGE MALL</t>
  </si>
  <si>
    <t>KOP SP SHOPPING CIDADE SAO PAULO</t>
  </si>
  <si>
    <t>KOP RJ HUMAITA</t>
  </si>
  <si>
    <t>KOP CAMBORIU ATLANTICO SHOPPING</t>
  </si>
  <si>
    <t>KOP SP TIETE PLAZA SHOPPING</t>
  </si>
  <si>
    <t>KOP BOULEVARD SHOPPING BELO HORIZONTE</t>
  </si>
  <si>
    <t>KOP BA AEROPORTO SALVADOR</t>
  </si>
  <si>
    <t>KOP SP SHOPPING HIGIENOPOLIS</t>
  </si>
  <si>
    <t>KOP CUIABA PANTANAL SHOPPING</t>
  </si>
  <si>
    <t>KOP NATAL SHOPPING MIDWAY MALL</t>
  </si>
  <si>
    <t>KOP PALMAS CAPIM DOURADO SHOPPING</t>
  </si>
  <si>
    <t>KOP SBC SHOPP METROPOLE</t>
  </si>
  <si>
    <t>KOP RJ BOULEVARD RIO SHOPPING</t>
  </si>
  <si>
    <t>KOP SHOPPING IGUATEMI CAMPINAS</t>
  </si>
  <si>
    <t>KOP BRASILIA DF PLAZA</t>
  </si>
  <si>
    <t>KOP MG AEROPORTO CONFINS EMBARQUE DOMESTICO</t>
  </si>
  <si>
    <t>KOP PA BOULEVARD SHOPPING BELEM</t>
  </si>
  <si>
    <t>KOP SP SHOPPING BUTANTA</t>
  </si>
  <si>
    <t>KOP JUNDIAI MAXI SHOPPING</t>
  </si>
  <si>
    <t>KOP SP SHOPPING DED</t>
  </si>
  <si>
    <t>KOP SHOPPING RECIFE</t>
  </si>
  <si>
    <t>KOP SHOPPING TAMBORE</t>
  </si>
  <si>
    <t>KOP SP HOSPITAL OSWALDO CRUZ</t>
  </si>
  <si>
    <t>KOP DEL PASEO QUIOSQUE</t>
  </si>
  <si>
    <t>KOP RJ SHOPPING METROPOLITANO</t>
  </si>
  <si>
    <t>KOP CE AEROPORTO PINTO MARTINS</t>
  </si>
  <si>
    <t>KOP SP AEROPORTO DE CUMBICA DESEMB 2</t>
  </si>
  <si>
    <t>KOP BERTIOGA SHOPPING RIVIERA</t>
  </si>
  <si>
    <t>KOP SHOPPING INTERNACIONAL GUARULHOS</t>
  </si>
  <si>
    <t>KOP NITEROI ICARAI OTAVIO CARNEIRO</t>
  </si>
  <si>
    <t>KOP RJ TOP CENTER SHOPPING IPANEMA</t>
  </si>
  <si>
    <t>KOP SP SHOPPING TOP CENTER</t>
  </si>
  <si>
    <t>KOP RJ NORTE SHOPPING PISO 1</t>
  </si>
  <si>
    <t>KOP BRASILIA SHOPPING CONJUNTO NACIONAL</t>
  </si>
  <si>
    <t>KOP SP SHOPPING VILA OLIMPIA</t>
  </si>
  <si>
    <t>KOP CAMPINAS PARQUE DOM PEDRO SHOP</t>
  </si>
  <si>
    <t>KOP RJ SHOPPING DA GAVEA</t>
  </si>
  <si>
    <t>KOP SP MOOCA MALL</t>
  </si>
  <si>
    <t>KOP SHOPPING CAMPO GRANDE</t>
  </si>
  <si>
    <t>KOP PARQUE SHOPPING MACEIO</t>
  </si>
  <si>
    <t>KOP SHOPPING VILA VELHA</t>
  </si>
  <si>
    <t>KOP CUIABA SHOPPING GOIABEIRAS</t>
  </si>
  <si>
    <t>KOP SP HOSPITAL SIRIO LIBANES</t>
  </si>
  <si>
    <t>KOP AM MANAUS SHOPPING MANAUARA</t>
  </si>
  <si>
    <t>KOP CENTER SHOPPING UBERLANDIA</t>
  </si>
  <si>
    <t>KOP SAO JOSE DO RIO PRETO SHOPP IGUATEMI</t>
  </si>
  <si>
    <t>KOP FLAGSHIP ITAIM</t>
  </si>
  <si>
    <t>KOP SP AEROPORTO DE CUMBICA TERMINAL 3</t>
  </si>
  <si>
    <t>KOP RJ SHOP NOVA AMERICA</t>
  </si>
  <si>
    <t>KOP SANTO ANDRE SHOPPING ABC PISO G1</t>
  </si>
  <si>
    <t>KOP SP SHOPPING PLAZA SUL</t>
  </si>
  <si>
    <t>KOP CE FORTALEZA SHOPPING RIO MAR</t>
  </si>
  <si>
    <t>KOP RJ SHOPPING TIJUCA PISO L2</t>
  </si>
  <si>
    <t>KOP SHOPPING IGUATEMI BRASILIA</t>
  </si>
  <si>
    <t>KOP BRASILIA SHOPPING PATIO BRASIL</t>
  </si>
  <si>
    <t>KOP SANTO ANDRE GRAN PLAZA SHOPPING</t>
  </si>
  <si>
    <t>KOP SP BOURBON SHOPPING</t>
  </si>
  <si>
    <t>KOP SP SHOPP ANALIA FRANCO P ORQUIDEAS</t>
  </si>
  <si>
    <t>KOP PARKSHOPPING SAO CAETANO</t>
  </si>
  <si>
    <t>KOP RJ BOTAFOGO PRAIA SHOPPING</t>
  </si>
  <si>
    <t>KOP SP SHOPPING MOOCA</t>
  </si>
  <si>
    <t>KOP SP SHOPPING VILLA LOBOS</t>
  </si>
  <si>
    <t>KOP SP SHOPPING CENTER 3</t>
  </si>
  <si>
    <t>KOP GOIANIA SHOPPING</t>
  </si>
  <si>
    <t>KOP SP SHOPP IBIRAPUERA PISO CAMPO BELO</t>
  </si>
  <si>
    <t>KOP CABO FRIO SHOPPING PARK LAGOS</t>
  </si>
  <si>
    <t>KOP ARACAJU SHOPPING RIOMAR</t>
  </si>
  <si>
    <t>KOP CURITIBA SHOPPING MUELLER</t>
  </si>
  <si>
    <t>KOP SP SHOPPING CONTINENTAL</t>
  </si>
  <si>
    <t>KOP RJ CENTRO SENADOR DANTAS</t>
  </si>
  <si>
    <t>KOP PRAIA GRANDE LITORAL PLAZA SHOPPING</t>
  </si>
  <si>
    <t>KOP PLAZA SHOPPING NITEROI</t>
  </si>
  <si>
    <t>KOP SHOPPING PATIO BATEL</t>
  </si>
  <si>
    <t>KOP SHOPPING VITORIA</t>
  </si>
  <si>
    <t>KOP SP SHOPPING IGUATEMI FARIA LIMA</t>
  </si>
  <si>
    <t>KOP RJ SHOPPING RIO DESIGN BARRA</t>
  </si>
  <si>
    <t>KOP SHOPPING JUNDIAI</t>
  </si>
  <si>
    <t>KOP SP SANTOS SH PARQUE BALNEARIO</t>
  </si>
  <si>
    <t>KOP AEROPORTO SANTOS DUMONT QUIOSQUE</t>
  </si>
  <si>
    <t>KOP RECIFE SHOPPING RIOMAR</t>
  </si>
  <si>
    <t>KOP SP SHOPPING CENTER NORTE</t>
  </si>
  <si>
    <t>KOP CURITIBA PARK SHOPPING BARIGUI</t>
  </si>
  <si>
    <t>KOP SP SHOPPING ELDORADO</t>
  </si>
  <si>
    <t>KOP SP SHOPPING SANTA CRUZ</t>
  </si>
  <si>
    <t>KOP RJ CATETE</t>
  </si>
  <si>
    <t>KOP BRASILIA SHOPPING</t>
  </si>
  <si>
    <t>KOP CAMPINAS GALLERIA SHOPPING</t>
  </si>
  <si>
    <t>KOP RJ SHOPPING LEBLON</t>
  </si>
  <si>
    <t>KOP RIBEIRAO SHOPPING</t>
  </si>
  <si>
    <t>KOP RJ BARRA SHOPPING PISO 1</t>
  </si>
  <si>
    <t>KOP SP SHOPP PATIO PAULISTA PISO PARAISO</t>
  </si>
  <si>
    <t>KOP SANTOS MIRAMAR SHOPPING</t>
  </si>
  <si>
    <t>KOP IGUATEMI FORTALEZA</t>
  </si>
  <si>
    <t>KOP SHOPPING ESTACAO CUIABA</t>
  </si>
  <si>
    <t>KOP SANTOS PRAIA MAR SHOPPING</t>
  </si>
  <si>
    <t>KOP RJ SHOPPING RIO SUL</t>
  </si>
  <si>
    <t>KOP SP MORUMBI SHOPPING</t>
  </si>
  <si>
    <t>KOP SP AEROPORTO CONGONHAS</t>
  </si>
  <si>
    <t>KOP RJ AEROPORTO GALEAO TERMINAL 2</t>
  </si>
  <si>
    <t>classificação</t>
  </si>
  <si>
    <t>TM</t>
  </si>
  <si>
    <t>PA</t>
  </si>
  <si>
    <t>Cupons SSS vs LY (%)</t>
  </si>
  <si>
    <t>Cupons SSS</t>
  </si>
  <si>
    <t>Cupons vs LY (%)</t>
  </si>
  <si>
    <t>Cupons</t>
  </si>
  <si>
    <t>Vol. SSS vs LY (%)</t>
  </si>
  <si>
    <t>Vol. SSS</t>
  </si>
  <si>
    <t>Vol. vs LY (%)</t>
  </si>
  <si>
    <t>Vol. Total</t>
  </si>
  <si>
    <t>Fat. SSS vs LY (%)</t>
  </si>
  <si>
    <t>Fat. (R$) SSS</t>
  </si>
  <si>
    <t>Fat. vs LY (%)</t>
  </si>
  <si>
    <t>Fat. (R$) Total</t>
  </si>
  <si>
    <t>Loja</t>
  </si>
  <si>
    <t>Loja SAP</t>
  </si>
  <si>
    <t>Ponto Comercial</t>
  </si>
  <si>
    <t>Visão Lojas - Café + Chocolate</t>
  </si>
  <si>
    <t>Tiramiwafer</t>
  </si>
  <si>
    <t>MARGEM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</si>
</sst>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00"/>
    <numFmt numFmtId="165" formatCode="#,##0.000"/>
    <numFmt numFmtId="166" formatCode="0.0%"/>
    <numFmt numFmtId="167" formatCode="0.0\p\p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i/>
      <sz val="9"/>
      <name val="Aptos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name val="Aptos Narrow"/>
      <family val="2"/>
      <scheme val="minor"/>
    </font>
    <font>
      <sz val="8"/>
      <name val="Aptos Narrow"/>
      <family val="2"/>
    </font>
    <font>
      <b/>
      <sz val="10"/>
      <name val="Aptos Narrow"/>
      <family val="2"/>
    </font>
    <font>
      <b/>
      <sz val="8"/>
      <name val="Aptos Narrow"/>
      <family val="2"/>
    </font>
    <font>
      <b/>
      <sz val="8"/>
      <color theme="0"/>
      <name val="Aptos Narrow"/>
      <family val="2"/>
    </font>
    <font>
      <b/>
      <sz val="12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4B9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double">
        <color theme="1" tint="4.9989318521683403E-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80">
    <xf numFmtId="0" fontId="0" fillId="0" borderId="0" xfId="0"/>
    <xf numFmtId="0" fontId="0" fillId="0" borderId="1" xfId="0" applyBorder="1"/>
    <xf numFmtId="0" fontId="3" fillId="0" borderId="0" xfId="0" applyFont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3" fillId="0" borderId="4" xfId="0" applyFont="1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9" fontId="3" fillId="0" borderId="7" xfId="2" applyFon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3" xfId="0" applyBorder="1"/>
    <xf numFmtId="0" fontId="0" fillId="0" borderId="9" xfId="0" applyBorder="1"/>
    <xf numFmtId="4" fontId="0" fillId="0" borderId="10" xfId="0" applyNumberFormat="1" applyBorder="1" applyAlignment="1">
      <alignment horizontal="center"/>
    </xf>
    <xf numFmtId="0" fontId="3" fillId="5" borderId="3" xfId="0" applyFont="1" applyFill="1" applyBorder="1"/>
    <xf numFmtId="0" fontId="3" fillId="5" borderId="9" xfId="0" applyFont="1" applyFill="1" applyBorder="1"/>
    <xf numFmtId="4" fontId="3" fillId="5" borderId="10" xfId="0" applyNumberFormat="1" applyFont="1" applyFill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0" fontId="0" fillId="0" borderId="10" xfId="0" applyBorder="1"/>
    <xf numFmtId="9" fontId="4" fillId="2" borderId="3" xfId="2" applyFont="1" applyFill="1" applyBorder="1" applyAlignment="1">
      <alignment vertical="top"/>
    </xf>
    <xf numFmtId="9" fontId="4" fillId="2" borderId="9" xfId="2" applyFont="1" applyFill="1" applyBorder="1" applyAlignment="1">
      <alignment vertical="top"/>
    </xf>
    <xf numFmtId="166" fontId="4" fillId="2" borderId="10" xfId="2" applyNumberFormat="1" applyFont="1" applyFill="1" applyBorder="1" applyAlignment="1">
      <alignment horizontal="center" vertical="top"/>
    </xf>
    <xf numFmtId="10" fontId="0" fillId="0" borderId="9" xfId="0" applyNumberFormat="1" applyBorder="1" applyAlignment="1">
      <alignment horizontal="center"/>
    </xf>
    <xf numFmtId="9" fontId="0" fillId="0" borderId="9" xfId="2" applyFont="1" applyBorder="1" applyAlignment="1">
      <alignment horizontal="center"/>
    </xf>
    <xf numFmtId="4" fontId="4" fillId="2" borderId="10" xfId="2" applyNumberFormat="1" applyFont="1" applyFill="1" applyBorder="1" applyAlignment="1">
      <alignment horizontal="center" vertical="top"/>
    </xf>
    <xf numFmtId="0" fontId="0" fillId="5" borderId="3" xfId="0" applyFill="1" applyBorder="1"/>
    <xf numFmtId="0" fontId="0" fillId="5" borderId="9" xfId="0" applyFill="1" applyBorder="1"/>
    <xf numFmtId="2" fontId="0" fillId="5" borderId="10" xfId="0" applyNumberFormat="1" applyFill="1" applyBorder="1" applyAlignment="1">
      <alignment horizontal="center"/>
    </xf>
    <xf numFmtId="0" fontId="0" fillId="3" borderId="3" xfId="0" applyFill="1" applyBorder="1"/>
    <xf numFmtId="9" fontId="0" fillId="3" borderId="9" xfId="2" applyFont="1" applyFill="1" applyBorder="1" applyAlignment="1">
      <alignment horizontal="center"/>
    </xf>
    <xf numFmtId="4" fontId="0" fillId="3" borderId="10" xfId="0" applyNumberFormat="1" applyFill="1" applyBorder="1" applyAlignment="1">
      <alignment horizontal="center"/>
    </xf>
    <xf numFmtId="164" fontId="0" fillId="3" borderId="9" xfId="2" applyNumberFormat="1" applyFont="1" applyFill="1" applyBorder="1" applyAlignment="1">
      <alignment horizontal="center"/>
    </xf>
    <xf numFmtId="0" fontId="3" fillId="5" borderId="11" xfId="0" applyFont="1" applyFill="1" applyBorder="1"/>
    <xf numFmtId="0" fontId="3" fillId="5" borderId="12" xfId="0" applyFont="1" applyFill="1" applyBorder="1"/>
    <xf numFmtId="166" fontId="3" fillId="6" borderId="13" xfId="0" applyNumberFormat="1" applyFont="1" applyFill="1" applyBorder="1" applyAlignment="1">
      <alignment horizontal="center"/>
    </xf>
    <xf numFmtId="167" fontId="5" fillId="0" borderId="0" xfId="2" applyNumberFormat="1" applyFont="1" applyFill="1" applyAlignment="1">
      <alignment horizontal="center"/>
    </xf>
    <xf numFmtId="0" fontId="3" fillId="5" borderId="4" xfId="0" applyFont="1" applyFill="1" applyBorder="1"/>
    <xf numFmtId="0" fontId="3" fillId="5" borderId="14" xfId="0" applyFont="1" applyFill="1" applyBorder="1"/>
    <xf numFmtId="166" fontId="3" fillId="7" borderId="15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8" fontId="10" fillId="0" borderId="16" xfId="0" applyNumberFormat="1" applyFont="1" applyBorder="1" applyAlignment="1">
      <alignment horizontal="center"/>
    </xf>
    <xf numFmtId="4" fontId="10" fillId="0" borderId="16" xfId="0" applyNumberFormat="1" applyFont="1" applyBorder="1" applyAlignment="1">
      <alignment horizontal="center"/>
    </xf>
    <xf numFmtId="9" fontId="10" fillId="0" borderId="16" xfId="0" applyNumberFormat="1" applyFont="1" applyBorder="1" applyAlignment="1">
      <alignment horizontal="center"/>
    </xf>
    <xf numFmtId="3" fontId="10" fillId="0" borderId="16" xfId="0" applyNumberFormat="1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8" fontId="9" fillId="0" borderId="17" xfId="0" applyNumberFormat="1" applyFont="1" applyBorder="1" applyAlignment="1">
      <alignment horizontal="center"/>
    </xf>
    <xf numFmtId="4" fontId="9" fillId="0" borderId="17" xfId="0" applyNumberFormat="1" applyFont="1" applyBorder="1" applyAlignment="1">
      <alignment horizontal="center"/>
    </xf>
    <xf numFmtId="9" fontId="9" fillId="0" borderId="17" xfId="0" applyNumberFormat="1" applyFont="1" applyBorder="1" applyAlignment="1">
      <alignment horizontal="center"/>
    </xf>
    <xf numFmtId="3" fontId="9" fillId="0" borderId="17" xfId="0" applyNumberFormat="1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8" fontId="9" fillId="0" borderId="18" xfId="0" applyNumberFormat="1" applyFont="1" applyBorder="1" applyAlignment="1">
      <alignment horizontal="center"/>
    </xf>
    <xf numFmtId="4" fontId="9" fillId="0" borderId="18" xfId="0" applyNumberFormat="1" applyFont="1" applyBorder="1" applyAlignment="1">
      <alignment horizontal="center"/>
    </xf>
    <xf numFmtId="9" fontId="9" fillId="0" borderId="18" xfId="0" applyNumberFormat="1" applyFont="1" applyBorder="1" applyAlignment="1">
      <alignment horizontal="center"/>
    </xf>
    <xf numFmtId="3" fontId="9" fillId="0" borderId="18" xfId="0" applyNumberFormat="1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11" fillId="8" borderId="18" xfId="0" applyFont="1" applyFill="1" applyBorder="1" applyAlignment="1">
      <alignment horizontal="center"/>
    </xf>
    <xf numFmtId="9" fontId="12" fillId="9" borderId="18" xfId="0" applyNumberFormat="1" applyFont="1" applyFill="1" applyBorder="1" applyAlignment="1">
      <alignment horizontal="center"/>
    </xf>
    <xf numFmtId="3" fontId="12" fillId="9" borderId="18" xfId="0" applyNumberFormat="1" applyFont="1" applyFill="1" applyBorder="1" applyAlignment="1">
      <alignment horizontal="center"/>
    </xf>
    <xf numFmtId="4" fontId="12" fillId="9" borderId="18" xfId="0" applyNumberFormat="1" applyFont="1" applyFill="1" applyBorder="1" applyAlignment="1">
      <alignment horizontal="center"/>
    </xf>
    <xf numFmtId="0" fontId="12" fillId="9" borderId="18" xfId="0" applyFont="1" applyFill="1" applyBorder="1" applyAlignment="1">
      <alignment horizontal="center"/>
    </xf>
    <xf numFmtId="0" fontId="11" fillId="0" borderId="0" xfId="0" applyFont="1" applyAlignment="1">
      <alignment horizontal="centerContinuous"/>
    </xf>
    <xf numFmtId="0" fontId="13" fillId="0" borderId="0" xfId="0" applyFont="1" applyAlignment="1">
      <alignment horizontal="centerContinuous"/>
    </xf>
    <xf numFmtId="0" fontId="0" fillId="2" borderId="0" xfId="0" applyFill="1"/>
    <xf numFmtId="0" fontId="3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44" fontId="8" fillId="2" borderId="0" xfId="1" applyFont="1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165" fontId="1" fillId="2" borderId="0" xfId="1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/>
    </xf>
    <xf numFmtId="2" fontId="0" fillId="0" borderId="0" xfId="0" applyNumberFormat="1"/>
    <xf numFmtId="2" fontId="3" fillId="0" borderId="0" xfId="0" applyNumberFormat="1" applyFont="1"/>
    <xf numFmtId="2" fontId="0" fillId="0" borderId="1" xfId="0" applyNumberFormat="1" applyBorder="1"/>
    <xf numFmtId="2" fontId="8" fillId="2" borderId="0" xfId="1" applyNumberFormat="1" applyFont="1" applyFill="1" applyBorder="1" applyAlignment="1">
      <alignment horizontal="center" vertical="center"/>
    </xf>
    <xf numFmtId="2" fontId="1" fillId="2" borderId="0" xfId="1" applyNumberFormat="1" applyFont="1" applyFill="1" applyBorder="1" applyAlignment="1">
      <alignment horizontal="center" vertical="center"/>
    </xf>
    <xf numFmtId="2" fontId="0" fillId="2" borderId="0" xfId="0" applyNumberFormat="1" applyFill="1"/>
    <xf numFmtId="9" fontId="3" fillId="10" borderId="0" xfId="0" applyNumberFormat="1" applyFont="1" applyFill="1"/>
  </cellXfs>
  <cellStyles count="4">
    <cellStyle name="Moeda" xfId="1" builtinId="4"/>
    <cellStyle name="Normal" xfId="0" builtinId="0"/>
    <cellStyle name="Normal 2 3" xfId="3" xr:uid="{79FB5C06-5A7E-4797-976C-4052CF8A9976}"/>
    <cellStyle name="Porcentagem" xfId="2" builtinId="5"/>
  </cellStyles>
  <dxfs count="3"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ont>
        <color auto="1"/>
      </font>
      <fill>
        <gradientFill degree="270">
          <stop position="0">
            <color theme="0"/>
          </stop>
          <stop position="1">
            <color rgb="FF00B050"/>
          </stop>
        </gradientFill>
      </fill>
    </dxf>
    <dxf>
      <fill>
        <gradientFill degree="270">
          <stop position="0">
            <color theme="0"/>
          </stop>
          <stop position="1">
            <color rgb="FFC0000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crmbr-my.sharepoint.com/personal/patricia_arasaki_grupocrm_com_br/Documents/&#193;rea%20de%20Trabalho/Calculadora%20de%20margem%20%20-%20P&amp;L%20Cafeteria%20-%20Minions.xlsx" TargetMode="External"/><Relationship Id="rId1" Type="http://schemas.openxmlformats.org/officeDocument/2006/relationships/externalLinkPath" Target="&#193;rea%20de%20Trabalho/Calculadora%20de%20margem%20%20-%20P&amp;L%20Cafeteria%20-%20Min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bremesa Banana Cumble"/>
      <sheetName val="P&amp;L"/>
      <sheetName val="INSUMOS FR"/>
      <sheetName val="COGS CRM"/>
      <sheetName val="BASE COGS CRM (BI)"/>
      <sheetName val="BASE INSUMOS FR"/>
      <sheetName val="BASE FAT SAP"/>
      <sheetName val="IMPOSTOS"/>
      <sheetName val="APOIO"/>
    </sheetNames>
    <sheetDataSet>
      <sheetData sheetId="0" refreshError="1"/>
      <sheetData sheetId="1" refreshError="1"/>
      <sheetData sheetId="2">
        <row r="4">
          <cell r="G4" t="str">
            <v>Custo FR</v>
          </cell>
          <cell r="N4" t="str">
            <v>SUBST.TRIBT. (ST)?</v>
          </cell>
        </row>
        <row r="5">
          <cell r="G5">
            <v>0.125</v>
          </cell>
          <cell r="N5" t="str">
            <v>NÃO SE APLICA</v>
          </cell>
        </row>
        <row r="6">
          <cell r="G6">
            <v>3.95</v>
          </cell>
          <cell r="N6" t="str">
            <v>NÃO SE APLICA</v>
          </cell>
        </row>
        <row r="7">
          <cell r="G7">
            <v>0.51293999999999995</v>
          </cell>
          <cell r="N7" t="str">
            <v>NÃO SE APLICA</v>
          </cell>
        </row>
        <row r="8">
          <cell r="G8">
            <v>0.18129999999999999</v>
          </cell>
          <cell r="N8" t="str">
            <v>NÃO SE APLICA</v>
          </cell>
        </row>
        <row r="9">
          <cell r="G9">
            <v>1.0902780000000001</v>
          </cell>
          <cell r="N9" t="str">
            <v>SIM</v>
          </cell>
        </row>
        <row r="10">
          <cell r="G10">
            <v>1.1189523809523809</v>
          </cell>
          <cell r="N10" t="str">
            <v>NÃO SE APLICA</v>
          </cell>
        </row>
        <row r="11">
          <cell r="G11">
            <v>0.35596</v>
          </cell>
          <cell r="N11" t="str">
            <v>NÃO SE APLICA</v>
          </cell>
        </row>
        <row r="12">
          <cell r="G12">
            <v>7.7659999999999993E-2</v>
          </cell>
          <cell r="N12" t="str">
            <v>NÃO SE APLICA</v>
          </cell>
        </row>
        <row r="13">
          <cell r="G13">
            <v>0</v>
          </cell>
          <cell r="N13" t="str">
            <v>NÃO SE APLICA</v>
          </cell>
        </row>
        <row r="14">
          <cell r="G14">
            <v>0</v>
          </cell>
          <cell r="N14" t="str">
            <v>Informar</v>
          </cell>
        </row>
        <row r="15">
          <cell r="G15">
            <v>0</v>
          </cell>
          <cell r="N15" t="str">
            <v>Informar</v>
          </cell>
        </row>
        <row r="16">
          <cell r="G16">
            <v>0</v>
          </cell>
          <cell r="N16" t="str">
            <v>Informar</v>
          </cell>
        </row>
        <row r="17">
          <cell r="G17">
            <v>0</v>
          </cell>
          <cell r="N17" t="str">
            <v>Informar</v>
          </cell>
        </row>
        <row r="18">
          <cell r="G18">
            <v>0</v>
          </cell>
          <cell r="N18" t="str">
            <v>Informar</v>
          </cell>
        </row>
        <row r="19">
          <cell r="G19">
            <v>0</v>
          </cell>
          <cell r="N19" t="str">
            <v>Informar</v>
          </cell>
        </row>
        <row r="20">
          <cell r="G20">
            <v>7.4120903809523799</v>
          </cell>
        </row>
        <row r="22">
          <cell r="G22" t="str">
            <v>Proporcional</v>
          </cell>
        </row>
        <row r="23">
          <cell r="G23" t="str">
            <v>Base FAT KG</v>
          </cell>
        </row>
        <row r="24">
          <cell r="G24">
            <v>0</v>
          </cell>
        </row>
        <row r="25">
          <cell r="G25" t="str">
            <v/>
          </cell>
        </row>
        <row r="26">
          <cell r="G26" t="str">
            <v/>
          </cell>
        </row>
        <row r="27">
          <cell r="G27" t="str">
            <v/>
          </cell>
        </row>
        <row r="28">
          <cell r="G28" t="str">
            <v/>
          </cell>
        </row>
        <row r="29">
          <cell r="N29" t="str">
            <v>Metal Parcial (SP)</v>
          </cell>
        </row>
        <row r="30">
          <cell r="N30" t="str">
            <v>%</v>
          </cell>
        </row>
        <row r="31">
          <cell r="G31" t="str">
            <v>Custo FR</v>
          </cell>
          <cell r="N31" t="str">
            <v>-</v>
          </cell>
        </row>
        <row r="32">
          <cell r="G32" t="str">
            <v>Informar</v>
          </cell>
          <cell r="K32" t="str">
            <v>SIM</v>
          </cell>
          <cell r="N32">
            <v>0.186</v>
          </cell>
        </row>
        <row r="33">
          <cell r="G33" t="str">
            <v>Informar</v>
          </cell>
          <cell r="K33" t="str">
            <v>Informar</v>
          </cell>
          <cell r="N33">
            <v>0.38500000000000001</v>
          </cell>
        </row>
        <row r="34">
          <cell r="G34" t="str">
            <v>Informar</v>
          </cell>
          <cell r="K34" t="str">
            <v>Informar</v>
          </cell>
          <cell r="N34">
            <v>-0.05</v>
          </cell>
        </row>
        <row r="35">
          <cell r="G35" t="str">
            <v>Informar</v>
          </cell>
          <cell r="K35" t="str">
            <v>Informar</v>
          </cell>
          <cell r="N35" t="str">
            <v>-</v>
          </cell>
        </row>
        <row r="36">
          <cell r="G36" t="str">
            <v>Informar</v>
          </cell>
          <cell r="K36" t="str">
            <v>Informar</v>
          </cell>
          <cell r="M36">
            <v>0</v>
          </cell>
          <cell r="N36">
            <v>0.52099999999999991</v>
          </cell>
        </row>
        <row r="37">
          <cell r="G37">
            <v>0</v>
          </cell>
        </row>
        <row r="38">
          <cell r="G38">
            <v>7.4120903809523799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483B9-0771-4398-848A-0AAA81EB3BFD}">
  <dimension ref="A1:J10"/>
  <sheetViews>
    <sheetView showGridLines="0" tabSelected="1" workbookViewId="0">
      <selection activeCell="G14" sqref="G14"/>
    </sheetView>
  </sheetViews>
  <sheetFormatPr defaultRowHeight="14.5" x14ac:dyDescent="0.35"/>
  <cols>
    <col min="1" max="1" width="5.453125" customWidth="1"/>
    <col min="2" max="2" width="7.6328125" bestFit="1" customWidth="1"/>
    <col min="3" max="3" width="25.7265625" bestFit="1" customWidth="1"/>
    <col min="4" max="4" width="15.453125" bestFit="1" customWidth="1"/>
    <col min="6" max="6" width="10" customWidth="1"/>
    <col min="7" max="7" width="15.26953125" bestFit="1" customWidth="1"/>
  </cols>
  <sheetData>
    <row r="1" spans="1:10" x14ac:dyDescent="0.35">
      <c r="B1" s="2" t="s">
        <v>8</v>
      </c>
    </row>
    <row r="2" spans="1:10" x14ac:dyDescent="0.35">
      <c r="B2" s="2" t="s">
        <v>889</v>
      </c>
    </row>
    <row r="4" spans="1:10" x14ac:dyDescent="0.35">
      <c r="B4" s="2" t="s">
        <v>2</v>
      </c>
      <c r="C4" s="2" t="s">
        <v>0</v>
      </c>
      <c r="D4" s="2" t="s">
        <v>3</v>
      </c>
      <c r="E4" s="2" t="s">
        <v>1</v>
      </c>
      <c r="G4" s="2" t="s">
        <v>13</v>
      </c>
    </row>
    <row r="5" spans="1:10" x14ac:dyDescent="0.35">
      <c r="A5" s="2"/>
      <c r="B5" s="4">
        <v>1</v>
      </c>
      <c r="C5" s="4" t="s">
        <v>43</v>
      </c>
      <c r="D5" s="1" t="s">
        <v>6</v>
      </c>
      <c r="E5" s="1">
        <v>230</v>
      </c>
      <c r="G5" t="s">
        <v>48</v>
      </c>
    </row>
    <row r="6" spans="1:10" x14ac:dyDescent="0.35">
      <c r="A6" s="2"/>
      <c r="B6" s="4">
        <v>2</v>
      </c>
      <c r="C6" s="4" t="s">
        <v>4</v>
      </c>
      <c r="D6" s="1" t="s">
        <v>5</v>
      </c>
      <c r="E6" s="1">
        <v>15</v>
      </c>
      <c r="G6" t="s">
        <v>11</v>
      </c>
    </row>
    <row r="7" spans="1:10" x14ac:dyDescent="0.35">
      <c r="B7" s="4">
        <v>3</v>
      </c>
      <c r="C7" s="4" t="s">
        <v>7</v>
      </c>
      <c r="D7" s="1" t="s">
        <v>5</v>
      </c>
      <c r="E7" s="1">
        <v>10</v>
      </c>
      <c r="G7" t="s">
        <v>10</v>
      </c>
    </row>
    <row r="8" spans="1:10" x14ac:dyDescent="0.35">
      <c r="G8" t="s">
        <v>9</v>
      </c>
    </row>
    <row r="9" spans="1:10" x14ac:dyDescent="0.35">
      <c r="C9" s="3"/>
    </row>
    <row r="10" spans="1:10" x14ac:dyDescent="0.35">
      <c r="B10" s="5" t="s">
        <v>12</v>
      </c>
      <c r="C10" s="6"/>
      <c r="D10" s="1" t="s">
        <v>47</v>
      </c>
      <c r="E10" s="1">
        <v>170</v>
      </c>
      <c r="G10" s="5" t="s">
        <v>14</v>
      </c>
      <c r="H10" s="7"/>
      <c r="I10" s="7"/>
      <c r="J10" s="6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38EDF-7E6E-4A47-BDE4-6181C3862879}">
  <dimension ref="C1:K20"/>
  <sheetViews>
    <sheetView showGridLines="0" workbookViewId="0">
      <selection activeCell="E9" sqref="E9"/>
    </sheetView>
  </sheetViews>
  <sheetFormatPr defaultRowHeight="14.5" x14ac:dyDescent="0.35"/>
  <cols>
    <col min="3" max="4" width="8.7265625" style="62"/>
    <col min="5" max="5" width="24.81640625" style="62" bestFit="1" customWidth="1"/>
    <col min="6" max="7" width="8.7265625" style="62"/>
    <col min="8" max="8" width="15.6328125" style="78" customWidth="1"/>
    <col min="9" max="10" width="8.7265625" style="78"/>
    <col min="11" max="11" width="8.7265625" style="62"/>
  </cols>
  <sheetData>
    <row r="1" spans="3:11" x14ac:dyDescent="0.35">
      <c r="C1"/>
      <c r="D1"/>
      <c r="E1"/>
      <c r="F1"/>
      <c r="G1"/>
      <c r="H1" s="73"/>
      <c r="I1" s="73"/>
      <c r="J1" s="73"/>
      <c r="K1"/>
    </row>
    <row r="2" spans="3:11" x14ac:dyDescent="0.35">
      <c r="C2"/>
      <c r="D2"/>
      <c r="E2"/>
      <c r="F2"/>
      <c r="G2"/>
      <c r="H2" s="73"/>
      <c r="I2" s="73"/>
      <c r="J2" s="73"/>
      <c r="K2"/>
    </row>
    <row r="3" spans="3:11" x14ac:dyDescent="0.35">
      <c r="C3"/>
      <c r="D3" s="2" t="s">
        <v>2</v>
      </c>
      <c r="E3" s="2" t="s">
        <v>0</v>
      </c>
      <c r="F3" s="2" t="s">
        <v>3</v>
      </c>
      <c r="G3" s="2" t="s">
        <v>1</v>
      </c>
      <c r="H3" s="74" t="s">
        <v>45</v>
      </c>
      <c r="I3" s="74" t="s">
        <v>44</v>
      </c>
      <c r="J3" s="74" t="s">
        <v>42</v>
      </c>
      <c r="K3"/>
    </row>
    <row r="4" spans="3:11" x14ac:dyDescent="0.35">
      <c r="C4" s="2"/>
      <c r="D4" s="4">
        <v>1</v>
      </c>
      <c r="E4" s="4" t="s">
        <v>46</v>
      </c>
      <c r="F4" s="1" t="s">
        <v>6</v>
      </c>
      <c r="G4" s="1">
        <f>'ficha técnica'!E5</f>
        <v>230</v>
      </c>
      <c r="H4" s="75"/>
      <c r="I4" s="75">
        <f>22/1000*G4</f>
        <v>5.0599999999999996</v>
      </c>
      <c r="J4" s="75">
        <f>H4+I4</f>
        <v>5.0599999999999996</v>
      </c>
      <c r="K4"/>
    </row>
    <row r="5" spans="3:11" x14ac:dyDescent="0.35">
      <c r="C5" s="2"/>
      <c r="D5" s="4">
        <v>2</v>
      </c>
      <c r="E5" s="4" t="s">
        <v>4</v>
      </c>
      <c r="F5" s="1" t="s">
        <v>5</v>
      </c>
      <c r="G5" s="1">
        <f>'ficha técnica'!E6</f>
        <v>15</v>
      </c>
      <c r="H5" s="75">
        <v>33.56</v>
      </c>
      <c r="I5" s="75"/>
      <c r="J5" s="75">
        <f>H5/85*G5</f>
        <v>5.922352941176471</v>
      </c>
      <c r="K5"/>
    </row>
    <row r="6" spans="3:11" x14ac:dyDescent="0.35">
      <c r="C6"/>
      <c r="D6" s="4">
        <v>3</v>
      </c>
      <c r="E6" s="4" t="s">
        <v>7</v>
      </c>
      <c r="F6" s="1" t="s">
        <v>5</v>
      </c>
      <c r="G6" s="1">
        <f>'ficha técnica'!E7</f>
        <v>10</v>
      </c>
      <c r="H6" s="75"/>
      <c r="I6" s="75"/>
      <c r="J6" s="75">
        <f>(29.9/250)*G6</f>
        <v>1.196</v>
      </c>
      <c r="K6"/>
    </row>
    <row r="7" spans="3:11" x14ac:dyDescent="0.35">
      <c r="C7"/>
      <c r="D7"/>
      <c r="E7"/>
      <c r="F7"/>
      <c r="G7">
        <f>SUM(G4:G6)</f>
        <v>255</v>
      </c>
      <c r="H7" s="73"/>
      <c r="I7" s="73"/>
      <c r="J7" s="73">
        <f>SUM(J4:J6)</f>
        <v>12.17835294117647</v>
      </c>
      <c r="K7"/>
    </row>
    <row r="8" spans="3:11" x14ac:dyDescent="0.35">
      <c r="C8"/>
      <c r="D8"/>
      <c r="E8" s="3" t="s">
        <v>49</v>
      </c>
      <c r="F8"/>
      <c r="G8"/>
      <c r="H8" s="73"/>
      <c r="I8" s="73"/>
      <c r="J8" s="73">
        <f>J7+(J7*E9)</f>
        <v>24.965623529411765</v>
      </c>
      <c r="K8"/>
    </row>
    <row r="9" spans="3:11" x14ac:dyDescent="0.35">
      <c r="C9"/>
      <c r="D9"/>
      <c r="E9" s="79">
        <v>1.05</v>
      </c>
      <c r="F9"/>
      <c r="G9"/>
      <c r="H9" s="73"/>
      <c r="I9" s="73"/>
      <c r="J9" s="73"/>
      <c r="K9"/>
    </row>
    <row r="10" spans="3:11" x14ac:dyDescent="0.35">
      <c r="C10"/>
      <c r="D10"/>
      <c r="E10"/>
      <c r="F10"/>
      <c r="G10"/>
      <c r="H10" s="73"/>
      <c r="I10" s="73"/>
      <c r="J10" s="73"/>
      <c r="K10"/>
    </row>
    <row r="11" spans="3:11" x14ac:dyDescent="0.35">
      <c r="D11" s="63"/>
      <c r="E11" s="64"/>
      <c r="F11" s="64"/>
      <c r="G11" s="65"/>
      <c r="H11" s="76"/>
      <c r="I11" s="76"/>
      <c r="J11" s="76"/>
      <c r="K11" s="66"/>
    </row>
    <row r="12" spans="3:11" x14ac:dyDescent="0.35">
      <c r="D12" s="67"/>
      <c r="E12" s="68"/>
      <c r="F12" s="69"/>
      <c r="G12" s="70"/>
      <c r="H12" s="77"/>
      <c r="I12" s="77"/>
      <c r="J12" s="77"/>
      <c r="K12" s="71"/>
    </row>
    <row r="13" spans="3:11" x14ac:dyDescent="0.35">
      <c r="D13" s="67"/>
      <c r="E13" s="67"/>
      <c r="F13" s="69"/>
      <c r="G13" s="70"/>
      <c r="H13" s="77"/>
      <c r="I13" s="77"/>
      <c r="J13" s="77"/>
      <c r="K13" s="71"/>
    </row>
    <row r="14" spans="3:11" x14ac:dyDescent="0.35">
      <c r="D14" s="67"/>
      <c r="E14" s="67"/>
      <c r="F14" s="69"/>
      <c r="G14" s="70"/>
      <c r="H14" s="77"/>
      <c r="I14" s="77"/>
      <c r="J14" s="77"/>
      <c r="K14" s="71"/>
    </row>
    <row r="15" spans="3:11" x14ac:dyDescent="0.35">
      <c r="D15" s="67"/>
      <c r="E15" s="67"/>
      <c r="F15" s="69"/>
      <c r="G15" s="70"/>
      <c r="H15" s="77"/>
      <c r="I15" s="77"/>
      <c r="J15" s="77"/>
      <c r="K15" s="71"/>
    </row>
    <row r="16" spans="3:11" x14ac:dyDescent="0.35">
      <c r="D16" s="67"/>
      <c r="E16" s="67"/>
      <c r="F16" s="69"/>
      <c r="G16" s="70"/>
      <c r="H16" s="77"/>
      <c r="I16" s="77"/>
      <c r="J16" s="77"/>
      <c r="K16" s="71"/>
    </row>
    <row r="17" spans="4:11" x14ac:dyDescent="0.35">
      <c r="D17" s="67"/>
      <c r="E17" s="67"/>
      <c r="F17" s="69"/>
      <c r="G17" s="70"/>
      <c r="H17" s="77"/>
      <c r="I17" s="77"/>
      <c r="J17" s="77"/>
      <c r="K17" s="71"/>
    </row>
    <row r="18" spans="4:11" x14ac:dyDescent="0.35">
      <c r="D18" s="67"/>
      <c r="E18" s="67"/>
      <c r="F18" s="69"/>
      <c r="G18" s="70"/>
      <c r="H18" s="77"/>
      <c r="I18" s="77"/>
      <c r="J18" s="77"/>
      <c r="K18" s="71"/>
    </row>
    <row r="19" spans="4:11" x14ac:dyDescent="0.35">
      <c r="D19" s="67"/>
      <c r="E19" s="67"/>
      <c r="F19" s="69"/>
      <c r="G19" s="70"/>
      <c r="H19" s="77"/>
      <c r="I19" s="77"/>
      <c r="J19" s="77"/>
      <c r="K19" s="71"/>
    </row>
    <row r="20" spans="4:11" x14ac:dyDescent="0.35">
      <c r="D20" s="67"/>
      <c r="E20" s="67"/>
      <c r="F20" s="69"/>
      <c r="G20" s="70"/>
      <c r="H20" s="77"/>
      <c r="I20" s="77"/>
      <c r="J20" s="77"/>
      <c r="K20" s="7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09B42-BA58-43C8-AA9F-C96715731064}">
  <dimension ref="B3:D44"/>
  <sheetViews>
    <sheetView topLeftCell="A25" zoomScale="87" zoomScaleNormal="87" workbookViewId="0">
      <selection activeCell="F21" sqref="F21"/>
    </sheetView>
  </sheetViews>
  <sheetFormatPr defaultRowHeight="14.5" x14ac:dyDescent="0.35"/>
  <cols>
    <col min="2" max="2" width="26.54296875" bestFit="1" customWidth="1"/>
    <col min="3" max="3" width="6.90625" bestFit="1" customWidth="1"/>
    <col min="4" max="4" width="8.81640625" bestFit="1" customWidth="1"/>
  </cols>
  <sheetData>
    <row r="3" spans="2:4" x14ac:dyDescent="0.35">
      <c r="B3" s="72" t="s">
        <v>890</v>
      </c>
      <c r="C3" s="72"/>
      <c r="D3" s="72"/>
    </row>
    <row r="5" spans="2:4" x14ac:dyDescent="0.35">
      <c r="B5" s="8" t="s">
        <v>15</v>
      </c>
      <c r="C5" s="9" t="s">
        <v>16</v>
      </c>
      <c r="D5" s="10">
        <v>255</v>
      </c>
    </row>
    <row r="6" spans="2:4" x14ac:dyDescent="0.35">
      <c r="B6" s="11" t="s">
        <v>17</v>
      </c>
      <c r="C6" s="12"/>
      <c r="D6" s="13">
        <f ca="1">IFERROR($D$6/$D$4,0)</f>
        <v>9.7647058823529406E-2</v>
      </c>
    </row>
    <row r="7" spans="2:4" x14ac:dyDescent="0.35">
      <c r="B7" s="14" t="s">
        <v>18</v>
      </c>
      <c r="C7" s="15"/>
      <c r="D7" s="16">
        <v>24.9</v>
      </c>
    </row>
    <row r="8" spans="2:4" x14ac:dyDescent="0.35">
      <c r="B8" s="11"/>
      <c r="C8" s="12"/>
      <c r="D8" s="13"/>
    </row>
    <row r="9" spans="2:4" x14ac:dyDescent="0.35">
      <c r="B9" s="11"/>
      <c r="C9" s="17"/>
      <c r="D9" s="13"/>
    </row>
    <row r="10" spans="2:4" x14ac:dyDescent="0.35">
      <c r="B10" s="11"/>
      <c r="C10" s="12"/>
      <c r="D10" s="18"/>
    </row>
    <row r="11" spans="2:4" x14ac:dyDescent="0.35">
      <c r="B11" s="14" t="s">
        <v>19</v>
      </c>
      <c r="C11" s="15"/>
      <c r="D11" s="16">
        <f ca="1">SUM($D$13:$D$17)</f>
        <v>-2.6642999999999999</v>
      </c>
    </row>
    <row r="12" spans="2:4" x14ac:dyDescent="0.35">
      <c r="B12" s="19" t="s">
        <v>20</v>
      </c>
      <c r="C12" s="20"/>
      <c r="D12" s="21">
        <f ca="1">IFERROR($D$10/$D$6,0)</f>
        <v>-0.107</v>
      </c>
    </row>
    <row r="13" spans="2:4" x14ac:dyDescent="0.35">
      <c r="B13" s="11"/>
      <c r="C13" s="12"/>
      <c r="D13" s="18"/>
    </row>
    <row r="14" spans="2:4" x14ac:dyDescent="0.35">
      <c r="B14" s="11" t="s">
        <v>21</v>
      </c>
      <c r="C14" s="22">
        <v>0.107</v>
      </c>
      <c r="D14" s="13">
        <f ca="1">-$D$6*$C$13</f>
        <v>-2.6642999999999999</v>
      </c>
    </row>
    <row r="15" spans="2:4" x14ac:dyDescent="0.35">
      <c r="B15" s="11" t="s">
        <v>22</v>
      </c>
      <c r="C15" s="23">
        <v>0</v>
      </c>
      <c r="D15" s="13">
        <v>0</v>
      </c>
    </row>
    <row r="16" spans="2:4" x14ac:dyDescent="0.35">
      <c r="B16" s="11" t="s">
        <v>23</v>
      </c>
      <c r="C16" s="23">
        <v>0</v>
      </c>
      <c r="D16" s="13">
        <v>0</v>
      </c>
    </row>
    <row r="17" spans="2:4" x14ac:dyDescent="0.35">
      <c r="B17" s="11" t="s">
        <v>24</v>
      </c>
      <c r="C17" s="23">
        <v>0</v>
      </c>
      <c r="D17" s="13">
        <v>0</v>
      </c>
    </row>
    <row r="18" spans="2:4" x14ac:dyDescent="0.35">
      <c r="B18" s="11" t="s">
        <v>25</v>
      </c>
      <c r="C18" s="23">
        <v>0</v>
      </c>
      <c r="D18" s="13">
        <v>0</v>
      </c>
    </row>
    <row r="19" spans="2:4" x14ac:dyDescent="0.35">
      <c r="B19" s="11"/>
      <c r="C19" s="12"/>
      <c r="D19" s="18"/>
    </row>
    <row r="20" spans="2:4" x14ac:dyDescent="0.35">
      <c r="B20" s="14" t="s">
        <v>26</v>
      </c>
      <c r="C20" s="15"/>
      <c r="D20" s="16">
        <f ca="1">SUM($D$6,$D$10)</f>
        <v>22.235699999999998</v>
      </c>
    </row>
    <row r="21" spans="2:4" x14ac:dyDescent="0.35">
      <c r="B21" s="11"/>
      <c r="C21" s="12"/>
      <c r="D21" s="18"/>
    </row>
    <row r="22" spans="2:4" x14ac:dyDescent="0.35">
      <c r="B22" s="14" t="s">
        <v>27</v>
      </c>
      <c r="C22" s="15"/>
      <c r="D22" s="16">
        <f ca="1">SUM(D24:D25,D30:D31)</f>
        <v>-7.63172034238438</v>
      </c>
    </row>
    <row r="23" spans="2:4" x14ac:dyDescent="0.35">
      <c r="B23" s="19" t="s">
        <v>28</v>
      </c>
      <c r="C23" s="20"/>
      <c r="D23" s="24">
        <f>IFERROR($D$21/$D$4,0)</f>
        <v>0</v>
      </c>
    </row>
    <row r="24" spans="2:4" x14ac:dyDescent="0.35">
      <c r="B24" s="11" t="s">
        <v>29</v>
      </c>
      <c r="C24" s="12"/>
      <c r="D24" s="13">
        <f>D7*30%</f>
        <v>7.4699999999999989</v>
      </c>
    </row>
    <row r="25" spans="2:4" x14ac:dyDescent="0.35">
      <c r="B25" s="25" t="s">
        <v>30</v>
      </c>
      <c r="C25" s="26"/>
      <c r="D25" s="27">
        <f ca="1">($D$30-$D$28)*-1</f>
        <v>0</v>
      </c>
    </row>
    <row r="26" spans="2:4" x14ac:dyDescent="0.35">
      <c r="B26" s="28" t="s">
        <v>31</v>
      </c>
      <c r="C26" s="29"/>
      <c r="D26" s="30">
        <f>SUMIF('[1]INSUMOS FR'!$N:$N,"SIM",'[1]INSUMOS FR'!$G:$G)</f>
        <v>1.0902780000000001</v>
      </c>
    </row>
    <row r="27" spans="2:4" x14ac:dyDescent="0.35">
      <c r="B27" s="28" t="s">
        <v>32</v>
      </c>
      <c r="C27" s="29">
        <v>0.12</v>
      </c>
      <c r="D27" s="30">
        <f ca="1">$D$27*$C$28</f>
        <v>0.13083336000000001</v>
      </c>
    </row>
    <row r="28" spans="2:4" x14ac:dyDescent="0.35">
      <c r="B28" s="28" t="s">
        <v>33</v>
      </c>
      <c r="C28" s="31">
        <f>1+0.7858</f>
        <v>1.7858000000000001</v>
      </c>
      <c r="D28" s="30">
        <f ca="1">$D$27*$C$29</f>
        <v>1.9470184524000003</v>
      </c>
    </row>
    <row r="29" spans="2:4" x14ac:dyDescent="0.35">
      <c r="B29" s="28" t="s">
        <v>34</v>
      </c>
      <c r="C29" s="29">
        <v>0.18</v>
      </c>
      <c r="D29" s="30">
        <f ca="1">$D$29*$C$30</f>
        <v>0.35046332143200004</v>
      </c>
    </row>
    <row r="30" spans="2:4" x14ac:dyDescent="0.35">
      <c r="B30" s="11" t="s">
        <v>35</v>
      </c>
      <c r="C30" s="12"/>
      <c r="D30" s="13">
        <f>-'[1]INSUMOS FR'!$M$36</f>
        <v>0</v>
      </c>
    </row>
    <row r="31" spans="2:4" x14ac:dyDescent="0.35">
      <c r="B31" s="25" t="s">
        <v>36</v>
      </c>
      <c r="C31" s="26"/>
      <c r="D31" s="27">
        <f ca="1">($D$36-$D$34)*-1</f>
        <v>0</v>
      </c>
    </row>
    <row r="32" spans="2:4" x14ac:dyDescent="0.35">
      <c r="B32" s="28" t="s">
        <v>31</v>
      </c>
      <c r="C32" s="29"/>
      <c r="D32" s="30">
        <f>SUMIF('[1]INSUMOS FR'!$K$32:$K$36,"SIM",'[1]INSUMOS FR'!$G$32:$G$36)*'[1]INSUMOS FR'!$N$32</f>
        <v>0</v>
      </c>
    </row>
    <row r="33" spans="2:4" x14ac:dyDescent="0.35">
      <c r="B33" s="28" t="s">
        <v>32</v>
      </c>
      <c r="C33" s="29">
        <v>0.12</v>
      </c>
      <c r="D33" s="30">
        <f ca="1">$D$33*$C$34</f>
        <v>0</v>
      </c>
    </row>
    <row r="34" spans="2:4" x14ac:dyDescent="0.35">
      <c r="B34" s="28" t="s">
        <v>33</v>
      </c>
      <c r="C34" s="31">
        <f>1+0.7858</f>
        <v>1.7858000000000001</v>
      </c>
      <c r="D34" s="30">
        <f ca="1">$D$33*$C$35</f>
        <v>0</v>
      </c>
    </row>
    <row r="35" spans="2:4" x14ac:dyDescent="0.35">
      <c r="B35" s="28" t="s">
        <v>34</v>
      </c>
      <c r="C35" s="29">
        <v>0.18</v>
      </c>
      <c r="D35" s="30">
        <f ca="1">$D$35*$C$36</f>
        <v>0</v>
      </c>
    </row>
    <row r="36" spans="2:4" x14ac:dyDescent="0.35">
      <c r="B36" s="11"/>
      <c r="C36" s="12"/>
      <c r="D36" s="18"/>
    </row>
    <row r="37" spans="2:4" x14ac:dyDescent="0.35">
      <c r="B37" s="11" t="s">
        <v>37</v>
      </c>
      <c r="C37" s="17">
        <v>0</v>
      </c>
      <c r="D37" s="13">
        <v>0</v>
      </c>
    </row>
    <row r="38" spans="2:4" x14ac:dyDescent="0.35">
      <c r="B38" s="11"/>
      <c r="C38" s="12"/>
      <c r="D38" s="18"/>
    </row>
    <row r="39" spans="2:4" x14ac:dyDescent="0.35">
      <c r="B39" s="11" t="s">
        <v>38</v>
      </c>
      <c r="C39" s="12"/>
      <c r="D39" s="13">
        <v>14.603979657615618</v>
      </c>
    </row>
    <row r="40" spans="2:4" x14ac:dyDescent="0.35">
      <c r="B40" s="11" t="s">
        <v>39</v>
      </c>
      <c r="C40" s="12"/>
      <c r="D40" s="13">
        <f>D39/D5</f>
        <v>5.7270508461237719E-2</v>
      </c>
    </row>
    <row r="41" spans="2:4" x14ac:dyDescent="0.35">
      <c r="B41" s="32" t="s">
        <v>40</v>
      </c>
      <c r="C41" s="33"/>
      <c r="D41" s="34">
        <f>IFERROR($D$39/$D$7,0)</f>
        <v>0.58650520713315735</v>
      </c>
    </row>
    <row r="42" spans="2:4" x14ac:dyDescent="0.35">
      <c r="D42" s="35">
        <f>(D41-D44)*100</f>
        <v>10.650520713315736</v>
      </c>
    </row>
    <row r="44" spans="2:4" x14ac:dyDescent="0.35">
      <c r="B44" s="36" t="s">
        <v>41</v>
      </c>
      <c r="C44" s="37"/>
      <c r="D44" s="38">
        <v>0.48</v>
      </c>
    </row>
  </sheetData>
  <mergeCells count="1">
    <mergeCell ref="B3:D3"/>
  </mergeCells>
  <conditionalFormatting sqref="D41">
    <cfRule type="cellIs" dxfId="2" priority="3" operator="lessThan">
      <formula>$D$43</formula>
    </cfRule>
    <cfRule type="cellIs" dxfId="1" priority="4" operator="greaterThanOrEqual">
      <formula>$D$43</formula>
    </cfRule>
  </conditionalFormatting>
  <conditionalFormatting sqref="D42">
    <cfRule type="iconSet" priority="2">
      <iconSet iconSet="3Arrows">
        <cfvo type="percent" val="0"/>
        <cfvo type="num" val="0.1"/>
        <cfvo type="num" val="0.2"/>
      </iconSet>
    </cfRule>
  </conditionalFormatting>
  <conditionalFormatting sqref="D44">
    <cfRule type="cellIs" dxfId="0" priority="1" operator="greaterThanOrEqual">
      <formula>0.4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54D13-D674-429A-932C-CB8A5E72AD00}">
  <dimension ref="A2:R828"/>
  <sheetViews>
    <sheetView workbookViewId="0">
      <selection activeCell="R2" sqref="R2"/>
    </sheetView>
  </sheetViews>
  <sheetFormatPr defaultRowHeight="14.5" x14ac:dyDescent="0.35"/>
  <cols>
    <col min="18" max="18" width="12.1796875" bestFit="1" customWidth="1"/>
  </cols>
  <sheetData>
    <row r="2" spans="1:18" ht="16" x14ac:dyDescent="0.4">
      <c r="A2" s="61" t="s">
        <v>888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39"/>
    </row>
    <row r="3" spans="1:18" x14ac:dyDescent="0.35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</row>
    <row r="4" spans="1:18" x14ac:dyDescent="0.35">
      <c r="A4" s="59" t="s">
        <v>887</v>
      </c>
      <c r="B4" s="59" t="s">
        <v>886</v>
      </c>
      <c r="C4" s="59" t="s">
        <v>885</v>
      </c>
      <c r="D4" s="58" t="s">
        <v>884</v>
      </c>
      <c r="E4" s="56" t="s">
        <v>883</v>
      </c>
      <c r="F4" s="58" t="s">
        <v>882</v>
      </c>
      <c r="G4" s="56" t="s">
        <v>881</v>
      </c>
      <c r="H4" s="57" t="s">
        <v>880</v>
      </c>
      <c r="I4" s="56" t="s">
        <v>879</v>
      </c>
      <c r="J4" s="57" t="s">
        <v>878</v>
      </c>
      <c r="K4" s="56" t="s">
        <v>877</v>
      </c>
      <c r="L4" s="57" t="s">
        <v>876</v>
      </c>
      <c r="M4" s="56" t="s">
        <v>875</v>
      </c>
      <c r="N4" s="57" t="s">
        <v>874</v>
      </c>
      <c r="O4" s="56" t="s">
        <v>873</v>
      </c>
      <c r="P4" s="55" t="s">
        <v>872</v>
      </c>
      <c r="Q4" s="55" t="s">
        <v>871</v>
      </c>
      <c r="R4" s="55" t="s">
        <v>870</v>
      </c>
    </row>
    <row r="5" spans="1:18" x14ac:dyDescent="0.35">
      <c r="A5" s="54">
        <v>1230051</v>
      </c>
      <c r="B5" s="54">
        <v>105073</v>
      </c>
      <c r="C5" s="54" t="s">
        <v>869</v>
      </c>
      <c r="D5" s="51">
        <v>608966.05999998376</v>
      </c>
      <c r="E5" s="52">
        <v>6.2439767735264683E-2</v>
      </c>
      <c r="F5" s="51">
        <v>608966.05999998376</v>
      </c>
      <c r="G5" s="52">
        <v>6.2439767735264683E-2</v>
      </c>
      <c r="H5" s="53">
        <v>30772.999899999995</v>
      </c>
      <c r="I5" s="52">
        <v>-2.6971482324669727E-2</v>
      </c>
      <c r="J5" s="53">
        <v>30772.999899999995</v>
      </c>
      <c r="K5" s="52">
        <v>-2.6971482324669727E-2</v>
      </c>
      <c r="L5" s="53">
        <v>20386</v>
      </c>
      <c r="M5" s="52">
        <v>-1.8110008669685002E-2</v>
      </c>
      <c r="N5" s="53">
        <v>20386</v>
      </c>
      <c r="O5" s="52">
        <v>-1.8110008669685002E-2</v>
      </c>
      <c r="P5" s="51">
        <f t="shared" ref="P5:P68" si="0">H5/L5</f>
        <v>1.5095163298341998</v>
      </c>
      <c r="Q5" s="50">
        <f t="shared" ref="Q5:Q68" si="1">D5/L5</f>
        <v>29.871777690571164</v>
      </c>
      <c r="R5" s="39" t="s">
        <v>54</v>
      </c>
    </row>
    <row r="6" spans="1:18" x14ac:dyDescent="0.35">
      <c r="A6" s="54">
        <v>1240104</v>
      </c>
      <c r="B6" s="54">
        <v>102877</v>
      </c>
      <c r="C6" s="54" t="s">
        <v>868</v>
      </c>
      <c r="D6" s="51">
        <v>602992.14999999525</v>
      </c>
      <c r="E6" s="52">
        <v>-0.47960998202172045</v>
      </c>
      <c r="F6" s="51">
        <v>602992.14999999525</v>
      </c>
      <c r="G6" s="52">
        <v>-0.47960998202172045</v>
      </c>
      <c r="H6" s="53">
        <v>30269</v>
      </c>
      <c r="I6" s="52">
        <v>-0.54862136327711419</v>
      </c>
      <c r="J6" s="53">
        <v>30269</v>
      </c>
      <c r="K6" s="52">
        <v>-0.54862136327711419</v>
      </c>
      <c r="L6" s="53">
        <v>24118</v>
      </c>
      <c r="M6" s="52">
        <v>-0.52342561305748214</v>
      </c>
      <c r="N6" s="53">
        <v>24118</v>
      </c>
      <c r="O6" s="52">
        <v>-0.52342561305748214</v>
      </c>
      <c r="P6" s="51">
        <f t="shared" si="0"/>
        <v>1.2550377311551539</v>
      </c>
      <c r="Q6" s="50">
        <f t="shared" si="1"/>
        <v>25.00174765735116</v>
      </c>
      <c r="R6" s="39" t="s">
        <v>51</v>
      </c>
    </row>
    <row r="7" spans="1:18" x14ac:dyDescent="0.35">
      <c r="A7" s="54">
        <v>1240005</v>
      </c>
      <c r="B7" s="54">
        <v>104560</v>
      </c>
      <c r="C7" s="54" t="s">
        <v>867</v>
      </c>
      <c r="D7" s="51">
        <v>500187.84999993711</v>
      </c>
      <c r="E7" s="52">
        <v>0.32909351415030536</v>
      </c>
      <c r="F7" s="51">
        <v>500187.84999993711</v>
      </c>
      <c r="G7" s="52">
        <v>0.32909351415030536</v>
      </c>
      <c r="H7" s="53">
        <v>32355</v>
      </c>
      <c r="I7" s="52">
        <v>0.19026597505794063</v>
      </c>
      <c r="J7" s="53">
        <v>32355</v>
      </c>
      <c r="K7" s="52">
        <v>0.19026597505794063</v>
      </c>
      <c r="L7" s="53">
        <v>20324</v>
      </c>
      <c r="M7" s="52">
        <v>0.18812112708990997</v>
      </c>
      <c r="N7" s="53">
        <v>20324</v>
      </c>
      <c r="O7" s="52">
        <v>0.18812112708990997</v>
      </c>
      <c r="P7" s="51">
        <f t="shared" si="0"/>
        <v>1.5919602440464475</v>
      </c>
      <c r="Q7" s="50">
        <f t="shared" si="1"/>
        <v>24.610699173387971</v>
      </c>
      <c r="R7" s="39" t="s">
        <v>54</v>
      </c>
    </row>
    <row r="8" spans="1:18" x14ac:dyDescent="0.35">
      <c r="A8" s="54">
        <v>1230002</v>
      </c>
      <c r="B8" s="54">
        <v>104607</v>
      </c>
      <c r="C8" s="54" t="s">
        <v>866</v>
      </c>
      <c r="D8" s="51">
        <v>441181.29999995738</v>
      </c>
      <c r="E8" s="52">
        <v>-5.198780175472812E-2</v>
      </c>
      <c r="F8" s="51">
        <v>441181.29999995738</v>
      </c>
      <c r="G8" s="52">
        <v>-5.198780175472812E-2</v>
      </c>
      <c r="H8" s="53">
        <v>27778</v>
      </c>
      <c r="I8" s="52">
        <v>-0.14794024723168001</v>
      </c>
      <c r="J8" s="53">
        <v>27778</v>
      </c>
      <c r="K8" s="52">
        <v>-0.14794024723168001</v>
      </c>
      <c r="L8" s="53">
        <v>18261</v>
      </c>
      <c r="M8" s="52">
        <v>-0.16768459434822242</v>
      </c>
      <c r="N8" s="53">
        <v>18261</v>
      </c>
      <c r="O8" s="52">
        <v>-0.16768459434822242</v>
      </c>
      <c r="P8" s="51">
        <f t="shared" si="0"/>
        <v>1.5211653250095833</v>
      </c>
      <c r="Q8" s="50">
        <f t="shared" si="1"/>
        <v>24.159755763646974</v>
      </c>
      <c r="R8" s="39" t="s">
        <v>54</v>
      </c>
    </row>
    <row r="9" spans="1:18" x14ac:dyDescent="0.35">
      <c r="A9" s="54">
        <v>1240050</v>
      </c>
      <c r="B9" s="54">
        <v>100920</v>
      </c>
      <c r="C9" s="54" t="s">
        <v>865</v>
      </c>
      <c r="D9" s="51">
        <v>431906.13999995601</v>
      </c>
      <c r="E9" s="52">
        <v>7.9682160489476295E-2</v>
      </c>
      <c r="F9" s="51">
        <v>431906.13999995601</v>
      </c>
      <c r="G9" s="52">
        <v>7.9682160489476295E-2</v>
      </c>
      <c r="H9" s="53">
        <v>28020</v>
      </c>
      <c r="I9" s="52">
        <v>-1.5494887741119427E-2</v>
      </c>
      <c r="J9" s="53">
        <v>28020</v>
      </c>
      <c r="K9" s="52">
        <v>-1.5494887741119427E-2</v>
      </c>
      <c r="L9" s="53">
        <v>17460</v>
      </c>
      <c r="M9" s="52">
        <v>-1.9266415772622593E-2</v>
      </c>
      <c r="N9" s="53">
        <v>17460</v>
      </c>
      <c r="O9" s="52">
        <v>-1.9266415772622593E-2</v>
      </c>
      <c r="P9" s="51">
        <f t="shared" si="0"/>
        <v>1.604810996563574</v>
      </c>
      <c r="Q9" s="50">
        <f t="shared" si="1"/>
        <v>24.736892325312485</v>
      </c>
      <c r="R9" s="39" t="s">
        <v>54</v>
      </c>
    </row>
    <row r="10" spans="1:18" x14ac:dyDescent="0.35">
      <c r="A10" s="54">
        <v>1170004</v>
      </c>
      <c r="B10" s="54">
        <v>107311</v>
      </c>
      <c r="C10" s="54" t="s">
        <v>864</v>
      </c>
      <c r="D10" s="51">
        <v>427147.63999999361</v>
      </c>
      <c r="E10" s="52">
        <v>0.1205951467402582</v>
      </c>
      <c r="F10" s="51">
        <v>427147.63999999361</v>
      </c>
      <c r="G10" s="52">
        <v>0.1205951467402582</v>
      </c>
      <c r="H10" s="53">
        <v>22050</v>
      </c>
      <c r="I10" s="52">
        <v>3.6135519947370895E-2</v>
      </c>
      <c r="J10" s="53">
        <v>22050</v>
      </c>
      <c r="K10" s="52">
        <v>3.6135519947370895E-2</v>
      </c>
      <c r="L10" s="53">
        <v>12252</v>
      </c>
      <c r="M10" s="52">
        <v>-9.0585571012617282E-3</v>
      </c>
      <c r="N10" s="53">
        <v>12252</v>
      </c>
      <c r="O10" s="52">
        <v>-9.0585571012617282E-3</v>
      </c>
      <c r="P10" s="51">
        <f t="shared" si="0"/>
        <v>1.7997061704211557</v>
      </c>
      <c r="Q10" s="50">
        <f t="shared" si="1"/>
        <v>34.863503101533922</v>
      </c>
      <c r="R10" s="39" t="s">
        <v>54</v>
      </c>
    </row>
    <row r="11" spans="1:18" x14ac:dyDescent="0.35">
      <c r="A11" s="54">
        <v>1100019</v>
      </c>
      <c r="B11" s="54">
        <v>107709</v>
      </c>
      <c r="C11" s="54" t="s">
        <v>863</v>
      </c>
      <c r="D11" s="51">
        <v>408671.08999995445</v>
      </c>
      <c r="E11" s="52"/>
      <c r="F11" s="51"/>
      <c r="G11" s="52"/>
      <c r="H11" s="53">
        <v>22864.98</v>
      </c>
      <c r="I11" s="52" t="s">
        <v>52</v>
      </c>
      <c r="J11" s="53"/>
      <c r="K11" s="52"/>
      <c r="L11" s="53">
        <v>15485</v>
      </c>
      <c r="M11" s="52" t="s">
        <v>52</v>
      </c>
      <c r="N11" s="53"/>
      <c r="O11" s="52"/>
      <c r="P11" s="51">
        <f t="shared" si="0"/>
        <v>1.4765889570552146</v>
      </c>
      <c r="Q11" s="50">
        <f t="shared" si="1"/>
        <v>26.391416855018047</v>
      </c>
      <c r="R11" s="39" t="s">
        <v>51</v>
      </c>
    </row>
    <row r="12" spans="1:18" x14ac:dyDescent="0.35">
      <c r="A12" s="54">
        <v>1240051</v>
      </c>
      <c r="B12" s="54">
        <v>100921</v>
      </c>
      <c r="C12" s="54" t="s">
        <v>862</v>
      </c>
      <c r="D12" s="51">
        <v>397438.89999996114</v>
      </c>
      <c r="E12" s="52">
        <v>5.8129640461979062E-2</v>
      </c>
      <c r="F12" s="51">
        <v>397438.89999996114</v>
      </c>
      <c r="G12" s="52">
        <v>5.8129640461979062E-2</v>
      </c>
      <c r="H12" s="53">
        <v>27044</v>
      </c>
      <c r="I12" s="52">
        <v>-3.2276533314248908E-2</v>
      </c>
      <c r="J12" s="53">
        <v>27044</v>
      </c>
      <c r="K12" s="52">
        <v>-3.2276533314248908E-2</v>
      </c>
      <c r="L12" s="53">
        <v>18211</v>
      </c>
      <c r="M12" s="52">
        <v>-1.4502949293792955E-2</v>
      </c>
      <c r="N12" s="53">
        <v>18211</v>
      </c>
      <c r="O12" s="52">
        <v>-1.4502949293792955E-2</v>
      </c>
      <c r="P12" s="51">
        <f t="shared" si="0"/>
        <v>1.4850365163911921</v>
      </c>
      <c r="Q12" s="50">
        <f t="shared" si="1"/>
        <v>21.824111800557969</v>
      </c>
      <c r="R12" s="39" t="s">
        <v>51</v>
      </c>
    </row>
    <row r="13" spans="1:18" x14ac:dyDescent="0.35">
      <c r="A13" s="54">
        <v>1240038</v>
      </c>
      <c r="B13" s="54">
        <v>104585</v>
      </c>
      <c r="C13" s="54" t="s">
        <v>861</v>
      </c>
      <c r="D13" s="51">
        <v>387642.849999964</v>
      </c>
      <c r="E13" s="52">
        <v>1.3976119184011262</v>
      </c>
      <c r="F13" s="51">
        <v>387642.849999964</v>
      </c>
      <c r="G13" s="52">
        <v>1.3976119184011262</v>
      </c>
      <c r="H13" s="53">
        <v>24632</v>
      </c>
      <c r="I13" s="52">
        <v>1.1542767185586846</v>
      </c>
      <c r="J13" s="53">
        <v>24632</v>
      </c>
      <c r="K13" s="52">
        <v>1.1542767185586846</v>
      </c>
      <c r="L13" s="53">
        <v>16777</v>
      </c>
      <c r="M13" s="52">
        <v>1.0681706114398422</v>
      </c>
      <c r="N13" s="53">
        <v>16777</v>
      </c>
      <c r="O13" s="52">
        <v>1.0681706114398422</v>
      </c>
      <c r="P13" s="51">
        <f t="shared" si="0"/>
        <v>1.4682005126065447</v>
      </c>
      <c r="Q13" s="50">
        <f t="shared" si="1"/>
        <v>23.105611849553796</v>
      </c>
      <c r="R13" s="39" t="s">
        <v>51</v>
      </c>
    </row>
    <row r="14" spans="1:18" x14ac:dyDescent="0.35">
      <c r="A14" s="54">
        <v>1230034</v>
      </c>
      <c r="B14" s="54">
        <v>107074</v>
      </c>
      <c r="C14" s="54" t="s">
        <v>860</v>
      </c>
      <c r="D14" s="51">
        <v>359359.2399999671</v>
      </c>
      <c r="E14" s="52">
        <v>9.3875522543883338</v>
      </c>
      <c r="F14" s="51">
        <v>179801.20999999176</v>
      </c>
      <c r="G14" s="52">
        <v>4.1972907786574112</v>
      </c>
      <c r="H14" s="53">
        <v>21991</v>
      </c>
      <c r="I14" s="52">
        <v>8.6072520751419841</v>
      </c>
      <c r="J14" s="53">
        <v>11069</v>
      </c>
      <c r="K14" s="52">
        <v>3.8357361293141108</v>
      </c>
      <c r="L14" s="53">
        <v>14154</v>
      </c>
      <c r="M14" s="52">
        <v>8.7748618784530379</v>
      </c>
      <c r="N14" s="53">
        <v>7027</v>
      </c>
      <c r="O14" s="52">
        <v>3.8529005524861879</v>
      </c>
      <c r="P14" s="51">
        <f t="shared" si="0"/>
        <v>1.5536950685318638</v>
      </c>
      <c r="Q14" s="50">
        <f t="shared" si="1"/>
        <v>25.389235551785156</v>
      </c>
      <c r="R14" s="39" t="s">
        <v>54</v>
      </c>
    </row>
    <row r="15" spans="1:18" x14ac:dyDescent="0.35">
      <c r="A15" s="54">
        <v>1240082</v>
      </c>
      <c r="B15" s="54">
        <v>100840</v>
      </c>
      <c r="C15" s="54" t="s">
        <v>859</v>
      </c>
      <c r="D15" s="51">
        <v>351517.02999999805</v>
      </c>
      <c r="E15" s="52">
        <v>0.16604173948543727</v>
      </c>
      <c r="F15" s="51">
        <v>351517.02999999805</v>
      </c>
      <c r="G15" s="52">
        <v>0.16604173948543727</v>
      </c>
      <c r="H15" s="53">
        <v>19725.2</v>
      </c>
      <c r="I15" s="52">
        <v>2.7300661423884209E-2</v>
      </c>
      <c r="J15" s="53">
        <v>19725.2</v>
      </c>
      <c r="K15" s="52">
        <v>2.7300661423884209E-2</v>
      </c>
      <c r="L15" s="53">
        <v>12998</v>
      </c>
      <c r="M15" s="52">
        <v>2.419037112914664E-2</v>
      </c>
      <c r="N15" s="53">
        <v>12998</v>
      </c>
      <c r="O15" s="52">
        <v>2.419037112914664E-2</v>
      </c>
      <c r="P15" s="51">
        <f t="shared" si="0"/>
        <v>1.5175565471611017</v>
      </c>
      <c r="Q15" s="50">
        <f t="shared" si="1"/>
        <v>27.043932143406529</v>
      </c>
      <c r="R15" s="39" t="s">
        <v>54</v>
      </c>
    </row>
    <row r="16" spans="1:18" x14ac:dyDescent="0.35">
      <c r="A16" s="54">
        <v>1230004</v>
      </c>
      <c r="B16" s="54">
        <v>104603</v>
      </c>
      <c r="C16" s="54" t="s">
        <v>858</v>
      </c>
      <c r="D16" s="51">
        <v>348662.25999997766</v>
      </c>
      <c r="E16" s="52">
        <v>6.4678347597859273E-2</v>
      </c>
      <c r="F16" s="51">
        <v>348662.25999997766</v>
      </c>
      <c r="G16" s="52">
        <v>6.4678347597859273E-2</v>
      </c>
      <c r="H16" s="53">
        <v>23318</v>
      </c>
      <c r="I16" s="52">
        <v>-2.5452417770719271E-2</v>
      </c>
      <c r="J16" s="53">
        <v>23318</v>
      </c>
      <c r="K16" s="52">
        <v>-2.5452417770719271E-2</v>
      </c>
      <c r="L16" s="53">
        <v>15691</v>
      </c>
      <c r="M16" s="52">
        <v>-2.8120161040569837E-2</v>
      </c>
      <c r="N16" s="53">
        <v>15691</v>
      </c>
      <c r="O16" s="52">
        <v>-2.8120161040569837E-2</v>
      </c>
      <c r="P16" s="51">
        <f t="shared" si="0"/>
        <v>1.486074819960487</v>
      </c>
      <c r="Q16" s="50">
        <f t="shared" si="1"/>
        <v>22.220525141799609</v>
      </c>
      <c r="R16" s="39" t="s">
        <v>51</v>
      </c>
    </row>
    <row r="17" spans="1:18" x14ac:dyDescent="0.35">
      <c r="A17" s="54">
        <v>1240013</v>
      </c>
      <c r="B17" s="54">
        <v>105216</v>
      </c>
      <c r="C17" s="54" t="s">
        <v>857</v>
      </c>
      <c r="D17" s="51">
        <v>347688.32999998087</v>
      </c>
      <c r="E17" s="52">
        <v>0.12018702112967432</v>
      </c>
      <c r="F17" s="51">
        <v>347688.32999998087</v>
      </c>
      <c r="G17" s="52">
        <v>0.12018702112967432</v>
      </c>
      <c r="H17" s="53">
        <v>23559.989999999998</v>
      </c>
      <c r="I17" s="52">
        <v>1.2548994326972578E-2</v>
      </c>
      <c r="J17" s="53">
        <v>23559.989999999998</v>
      </c>
      <c r="K17" s="52">
        <v>1.2548994326972578E-2</v>
      </c>
      <c r="L17" s="53">
        <v>14667</v>
      </c>
      <c r="M17" s="52">
        <v>2.1948160535117056E-2</v>
      </c>
      <c r="N17" s="53">
        <v>14667</v>
      </c>
      <c r="O17" s="52">
        <v>2.1948160535117056E-2</v>
      </c>
      <c r="P17" s="51">
        <f t="shared" si="0"/>
        <v>1.6063264471262015</v>
      </c>
      <c r="Q17" s="50">
        <f t="shared" si="1"/>
        <v>23.705483739004627</v>
      </c>
      <c r="R17" s="39" t="s">
        <v>54</v>
      </c>
    </row>
    <row r="18" spans="1:18" x14ac:dyDescent="0.35">
      <c r="A18" s="54">
        <v>1200001</v>
      </c>
      <c r="B18" s="54">
        <v>100238</v>
      </c>
      <c r="C18" s="54" t="s">
        <v>856</v>
      </c>
      <c r="D18" s="51">
        <v>343855.79999998491</v>
      </c>
      <c r="E18" s="52">
        <v>-0.11951150087814628</v>
      </c>
      <c r="F18" s="51">
        <v>343855.79999998491</v>
      </c>
      <c r="G18" s="52">
        <v>-0.11951150087814628</v>
      </c>
      <c r="H18" s="53">
        <v>20954</v>
      </c>
      <c r="I18" s="52">
        <v>-0.19943455337357682</v>
      </c>
      <c r="J18" s="53">
        <v>20954</v>
      </c>
      <c r="K18" s="52">
        <v>-0.19943455337357682</v>
      </c>
      <c r="L18" s="53">
        <v>12800</v>
      </c>
      <c r="M18" s="52">
        <v>-0.2000999875015623</v>
      </c>
      <c r="N18" s="53">
        <v>12800</v>
      </c>
      <c r="O18" s="52">
        <v>-0.2000999875015623</v>
      </c>
      <c r="P18" s="51">
        <f t="shared" si="0"/>
        <v>1.6370312499999999</v>
      </c>
      <c r="Q18" s="50">
        <f t="shared" si="1"/>
        <v>26.86373437499882</v>
      </c>
      <c r="R18" s="39" t="s">
        <v>54</v>
      </c>
    </row>
    <row r="19" spans="1:18" x14ac:dyDescent="0.35">
      <c r="A19" s="54">
        <v>1230016</v>
      </c>
      <c r="B19" s="54">
        <v>104612</v>
      </c>
      <c r="C19" s="54" t="s">
        <v>855</v>
      </c>
      <c r="D19" s="51">
        <v>343103.0599999734</v>
      </c>
      <c r="E19" s="52">
        <v>0.61531854447286205</v>
      </c>
      <c r="F19" s="51">
        <v>267146.89999999956</v>
      </c>
      <c r="G19" s="52">
        <v>0.25771930354823996</v>
      </c>
      <c r="H19" s="53">
        <v>23424</v>
      </c>
      <c r="I19" s="52">
        <v>0.57197503523253468</v>
      </c>
      <c r="J19" s="53">
        <v>18177</v>
      </c>
      <c r="K19" s="52">
        <v>0.21985101671028789</v>
      </c>
      <c r="L19" s="53">
        <v>17468</v>
      </c>
      <c r="M19" s="52">
        <v>0.6124803840118157</v>
      </c>
      <c r="N19" s="53">
        <v>13513</v>
      </c>
      <c r="O19" s="52">
        <v>0.2473922274531524</v>
      </c>
      <c r="P19" s="51">
        <f t="shared" si="0"/>
        <v>1.3409663384474468</v>
      </c>
      <c r="Q19" s="50">
        <f t="shared" si="1"/>
        <v>19.64180558735822</v>
      </c>
      <c r="R19" s="39" t="s">
        <v>51</v>
      </c>
    </row>
    <row r="20" spans="1:18" x14ac:dyDescent="0.35">
      <c r="A20" s="54">
        <v>1240029</v>
      </c>
      <c r="B20" s="54">
        <v>106383</v>
      </c>
      <c r="C20" s="54" t="s">
        <v>854</v>
      </c>
      <c r="D20" s="51">
        <v>341109.63999996096</v>
      </c>
      <c r="E20" s="52">
        <v>0.78332460342774335</v>
      </c>
      <c r="F20" s="51">
        <v>341109.63999996096</v>
      </c>
      <c r="G20" s="52">
        <v>0.78332460342774335</v>
      </c>
      <c r="H20" s="53">
        <v>21893</v>
      </c>
      <c r="I20" s="52">
        <v>0.57401682363937023</v>
      </c>
      <c r="J20" s="53">
        <v>21893</v>
      </c>
      <c r="K20" s="52">
        <v>0.57401682363937023</v>
      </c>
      <c r="L20" s="53">
        <v>16110</v>
      </c>
      <c r="M20" s="52">
        <v>0.58687943262411346</v>
      </c>
      <c r="N20" s="53">
        <v>16110</v>
      </c>
      <c r="O20" s="52">
        <v>0.58687943262411346</v>
      </c>
      <c r="P20" s="51">
        <f t="shared" si="0"/>
        <v>1.3589695841092488</v>
      </c>
      <c r="Q20" s="50">
        <f t="shared" si="1"/>
        <v>21.173782743635069</v>
      </c>
      <c r="R20" s="39" t="s">
        <v>51</v>
      </c>
    </row>
    <row r="21" spans="1:18" x14ac:dyDescent="0.35">
      <c r="A21" s="54">
        <v>1240021</v>
      </c>
      <c r="B21" s="54">
        <v>104574</v>
      </c>
      <c r="C21" s="54" t="s">
        <v>853</v>
      </c>
      <c r="D21" s="51">
        <v>333496.60999998177</v>
      </c>
      <c r="E21" s="52">
        <v>5.1852370277970634E-2</v>
      </c>
      <c r="F21" s="51">
        <v>333496.60999998177</v>
      </c>
      <c r="G21" s="52">
        <v>5.1852370277970634E-2</v>
      </c>
      <c r="H21" s="53">
        <v>21373.999900000003</v>
      </c>
      <c r="I21" s="52">
        <v>-3.6295599440912464E-2</v>
      </c>
      <c r="J21" s="53">
        <v>21373.999900000003</v>
      </c>
      <c r="K21" s="52">
        <v>-3.6295599440912464E-2</v>
      </c>
      <c r="L21" s="53">
        <v>13719</v>
      </c>
      <c r="M21" s="52">
        <v>-4.2236805361630832E-2</v>
      </c>
      <c r="N21" s="53">
        <v>13719</v>
      </c>
      <c r="O21" s="52">
        <v>-4.2236805361630832E-2</v>
      </c>
      <c r="P21" s="51">
        <f t="shared" si="0"/>
        <v>1.5579852686055837</v>
      </c>
      <c r="Q21" s="50">
        <f t="shared" si="1"/>
        <v>24.309104891025715</v>
      </c>
      <c r="R21" s="39" t="s">
        <v>54</v>
      </c>
    </row>
    <row r="22" spans="1:18" x14ac:dyDescent="0.35">
      <c r="A22" s="54">
        <v>1250004</v>
      </c>
      <c r="B22" s="54">
        <v>101081</v>
      </c>
      <c r="C22" s="54" t="s">
        <v>852</v>
      </c>
      <c r="D22" s="51">
        <v>331838.43999998376</v>
      </c>
      <c r="E22" s="52">
        <v>0.79692205256192472</v>
      </c>
      <c r="F22" s="51">
        <v>331838.43999998376</v>
      </c>
      <c r="G22" s="52">
        <v>0.79692205256192472</v>
      </c>
      <c r="H22" s="53">
        <v>18856</v>
      </c>
      <c r="I22" s="52">
        <v>0.69431215742654329</v>
      </c>
      <c r="J22" s="53">
        <v>18856</v>
      </c>
      <c r="K22" s="52">
        <v>0.69431215742654329</v>
      </c>
      <c r="L22" s="53">
        <v>10633</v>
      </c>
      <c r="M22" s="52">
        <v>0.84857440890125169</v>
      </c>
      <c r="N22" s="53">
        <v>10633</v>
      </c>
      <c r="O22" s="52">
        <v>0.84857440890125169</v>
      </c>
      <c r="P22" s="51">
        <f t="shared" si="0"/>
        <v>1.7733471268691809</v>
      </c>
      <c r="Q22" s="50">
        <f t="shared" si="1"/>
        <v>31.208355120848655</v>
      </c>
      <c r="R22" s="39" t="s">
        <v>54</v>
      </c>
    </row>
    <row r="23" spans="1:18" x14ac:dyDescent="0.35">
      <c r="A23" s="54">
        <v>1240006</v>
      </c>
      <c r="B23" s="54">
        <v>104564</v>
      </c>
      <c r="C23" s="54" t="s">
        <v>851</v>
      </c>
      <c r="D23" s="51">
        <v>322609.20999998762</v>
      </c>
      <c r="E23" s="52">
        <v>0.16916039357172158</v>
      </c>
      <c r="F23" s="51">
        <v>322609.20999998762</v>
      </c>
      <c r="G23" s="52">
        <v>0.16916039357172158</v>
      </c>
      <c r="H23" s="53">
        <v>19967</v>
      </c>
      <c r="I23" s="52">
        <v>6.3545328645999793E-2</v>
      </c>
      <c r="J23" s="53">
        <v>19967</v>
      </c>
      <c r="K23" s="52">
        <v>6.3545328645999793E-2</v>
      </c>
      <c r="L23" s="53">
        <v>12561</v>
      </c>
      <c r="M23" s="52">
        <v>4.8760123570176173E-2</v>
      </c>
      <c r="N23" s="53">
        <v>12561</v>
      </c>
      <c r="O23" s="52">
        <v>4.8760123570176173E-2</v>
      </c>
      <c r="P23" s="51">
        <f t="shared" si="0"/>
        <v>1.589602738635459</v>
      </c>
      <c r="Q23" s="50">
        <f t="shared" si="1"/>
        <v>25.683401799218821</v>
      </c>
      <c r="R23" s="39" t="s">
        <v>54</v>
      </c>
    </row>
    <row r="24" spans="1:18" x14ac:dyDescent="0.35">
      <c r="A24" s="54">
        <v>1130004</v>
      </c>
      <c r="B24" s="54">
        <v>104445</v>
      </c>
      <c r="C24" s="54" t="s">
        <v>850</v>
      </c>
      <c r="D24" s="51">
        <v>322521.87999998272</v>
      </c>
      <c r="E24" s="52">
        <v>0.22981070931916811</v>
      </c>
      <c r="F24" s="51">
        <v>322521.87999998272</v>
      </c>
      <c r="G24" s="52">
        <v>0.22981070931916811</v>
      </c>
      <c r="H24" s="53">
        <v>20203</v>
      </c>
      <c r="I24" s="52">
        <v>8.6416433641643364E-2</v>
      </c>
      <c r="J24" s="53">
        <v>20203</v>
      </c>
      <c r="K24" s="52">
        <v>8.6416433641643364E-2</v>
      </c>
      <c r="L24" s="53">
        <v>12715</v>
      </c>
      <c r="M24" s="52">
        <v>7.0917207108565652E-2</v>
      </c>
      <c r="N24" s="53">
        <v>12715</v>
      </c>
      <c r="O24" s="52">
        <v>7.0917207108565652E-2</v>
      </c>
      <c r="P24" s="51">
        <f t="shared" si="0"/>
        <v>1.5889107353519465</v>
      </c>
      <c r="Q24" s="50">
        <f t="shared" si="1"/>
        <v>25.36546441211032</v>
      </c>
      <c r="R24" s="39" t="s">
        <v>54</v>
      </c>
    </row>
    <row r="25" spans="1:18" x14ac:dyDescent="0.35">
      <c r="A25" s="54">
        <v>1230066</v>
      </c>
      <c r="B25" s="54">
        <v>102495</v>
      </c>
      <c r="C25" s="54" t="s">
        <v>849</v>
      </c>
      <c r="D25" s="51">
        <v>311045.34999999159</v>
      </c>
      <c r="E25" s="52">
        <v>0.11015425325170221</v>
      </c>
      <c r="F25" s="51">
        <v>311045.34999999159</v>
      </c>
      <c r="G25" s="52">
        <v>0.11015425325170221</v>
      </c>
      <c r="H25" s="53">
        <v>17554</v>
      </c>
      <c r="I25" s="52">
        <v>4.1347808032271463E-2</v>
      </c>
      <c r="J25" s="53">
        <v>17554</v>
      </c>
      <c r="K25" s="52">
        <v>4.1347808032271463E-2</v>
      </c>
      <c r="L25" s="53">
        <v>13215</v>
      </c>
      <c r="M25" s="52">
        <v>4.1617403641522818E-2</v>
      </c>
      <c r="N25" s="53">
        <v>13215</v>
      </c>
      <c r="O25" s="52">
        <v>4.1617403641522818E-2</v>
      </c>
      <c r="P25" s="51">
        <f t="shared" si="0"/>
        <v>1.3283390087022322</v>
      </c>
      <c r="Q25" s="50">
        <f t="shared" si="1"/>
        <v>23.537294740824183</v>
      </c>
      <c r="R25" s="39" t="s">
        <v>51</v>
      </c>
    </row>
    <row r="26" spans="1:18" x14ac:dyDescent="0.35">
      <c r="A26" s="54">
        <v>1240277</v>
      </c>
      <c r="B26" s="54">
        <v>104891</v>
      </c>
      <c r="C26" s="54" t="s">
        <v>848</v>
      </c>
      <c r="D26" s="51">
        <v>288130.53999999654</v>
      </c>
      <c r="E26" s="52">
        <v>0.15149723534069559</v>
      </c>
      <c r="F26" s="51">
        <v>288130.53999999654</v>
      </c>
      <c r="G26" s="52">
        <v>0.15149723534069559</v>
      </c>
      <c r="H26" s="53">
        <v>19438</v>
      </c>
      <c r="I26" s="52">
        <v>3.53680622136998E-2</v>
      </c>
      <c r="J26" s="53">
        <v>19438</v>
      </c>
      <c r="K26" s="52">
        <v>3.53680622136998E-2</v>
      </c>
      <c r="L26" s="53">
        <v>12256</v>
      </c>
      <c r="M26" s="52">
        <v>4.1468388851121689E-2</v>
      </c>
      <c r="N26" s="53">
        <v>12256</v>
      </c>
      <c r="O26" s="52">
        <v>4.1468388851121689E-2</v>
      </c>
      <c r="P26" s="51">
        <f t="shared" si="0"/>
        <v>1.5859986945169713</v>
      </c>
      <c r="Q26" s="50">
        <f t="shared" si="1"/>
        <v>23.509345626631571</v>
      </c>
      <c r="R26" s="39" t="s">
        <v>54</v>
      </c>
    </row>
    <row r="27" spans="1:18" x14ac:dyDescent="0.35">
      <c r="A27" s="54">
        <v>1240146</v>
      </c>
      <c r="B27" s="54">
        <v>106083</v>
      </c>
      <c r="C27" s="54" t="s">
        <v>847</v>
      </c>
      <c r="D27" s="51">
        <v>287516.59999999905</v>
      </c>
      <c r="E27" s="52">
        <v>3.8780101070497633E-2</v>
      </c>
      <c r="F27" s="51">
        <v>287516.59999999905</v>
      </c>
      <c r="G27" s="52">
        <v>3.8780101070497633E-2</v>
      </c>
      <c r="H27" s="53">
        <v>18803</v>
      </c>
      <c r="I27" s="52">
        <v>-5.4555510860820597E-2</v>
      </c>
      <c r="J27" s="53">
        <v>18803</v>
      </c>
      <c r="K27" s="52">
        <v>-5.4555510860820597E-2</v>
      </c>
      <c r="L27" s="53">
        <v>12080</v>
      </c>
      <c r="M27" s="52">
        <v>-5.4773082942097026E-2</v>
      </c>
      <c r="N27" s="53">
        <v>12080</v>
      </c>
      <c r="O27" s="52">
        <v>-5.4773082942097026E-2</v>
      </c>
      <c r="P27" s="51">
        <f t="shared" si="0"/>
        <v>1.5565397350993377</v>
      </c>
      <c r="Q27" s="50">
        <f t="shared" si="1"/>
        <v>23.801043046357538</v>
      </c>
      <c r="R27" s="39" t="s">
        <v>54</v>
      </c>
    </row>
    <row r="28" spans="1:18" x14ac:dyDescent="0.35">
      <c r="A28" s="54">
        <v>1230050</v>
      </c>
      <c r="B28" s="54">
        <v>101123</v>
      </c>
      <c r="C28" s="54" t="s">
        <v>846</v>
      </c>
      <c r="D28" s="51">
        <v>284369.08000000101</v>
      </c>
      <c r="E28" s="52">
        <v>0.31220375590404786</v>
      </c>
      <c r="F28" s="51">
        <v>284369.08000000101</v>
      </c>
      <c r="G28" s="52">
        <v>0.31220375590404786</v>
      </c>
      <c r="H28" s="53">
        <v>18817.2</v>
      </c>
      <c r="I28" s="52">
        <v>0.1996174933061329</v>
      </c>
      <c r="J28" s="53">
        <v>18817.2</v>
      </c>
      <c r="K28" s="52">
        <v>0.1996174933061329</v>
      </c>
      <c r="L28" s="53">
        <v>12030</v>
      </c>
      <c r="M28" s="52">
        <v>0.19404466501240694</v>
      </c>
      <c r="N28" s="53">
        <v>12030</v>
      </c>
      <c r="O28" s="52">
        <v>0.19404466501240694</v>
      </c>
      <c r="P28" s="51">
        <f t="shared" si="0"/>
        <v>1.5641895261845387</v>
      </c>
      <c r="Q28" s="50">
        <f t="shared" si="1"/>
        <v>23.638327514547051</v>
      </c>
      <c r="R28" s="39" t="s">
        <v>54</v>
      </c>
    </row>
    <row r="29" spans="1:18" x14ac:dyDescent="0.35">
      <c r="A29" s="54">
        <v>1240002</v>
      </c>
      <c r="B29" s="54">
        <v>104572</v>
      </c>
      <c r="C29" s="54" t="s">
        <v>845</v>
      </c>
      <c r="D29" s="51">
        <v>281874.33000000363</v>
      </c>
      <c r="E29" s="52">
        <v>0.12324896775411492</v>
      </c>
      <c r="F29" s="51">
        <v>281874.33000000363</v>
      </c>
      <c r="G29" s="52">
        <v>0.12324896775411492</v>
      </c>
      <c r="H29" s="53">
        <v>19161.989999999998</v>
      </c>
      <c r="I29" s="52">
        <v>1.1453681710213669E-2</v>
      </c>
      <c r="J29" s="53">
        <v>19161.989999999998</v>
      </c>
      <c r="K29" s="52">
        <v>1.1453681710213669E-2</v>
      </c>
      <c r="L29" s="53">
        <v>13393</v>
      </c>
      <c r="M29" s="52">
        <v>2.1976344906524229E-2</v>
      </c>
      <c r="N29" s="53">
        <v>13393</v>
      </c>
      <c r="O29" s="52">
        <v>2.1976344906524229E-2</v>
      </c>
      <c r="P29" s="51">
        <f t="shared" si="0"/>
        <v>1.430746658702307</v>
      </c>
      <c r="Q29" s="50">
        <f t="shared" si="1"/>
        <v>21.046392145150723</v>
      </c>
      <c r="R29" s="39" t="s">
        <v>51</v>
      </c>
    </row>
    <row r="30" spans="1:18" x14ac:dyDescent="0.35">
      <c r="A30" s="54">
        <v>1220001</v>
      </c>
      <c r="B30" s="54">
        <v>101992</v>
      </c>
      <c r="C30" s="54" t="s">
        <v>844</v>
      </c>
      <c r="D30" s="51">
        <v>279514.10999999184</v>
      </c>
      <c r="E30" s="52">
        <v>2.1504937402235878E-2</v>
      </c>
      <c r="F30" s="51">
        <v>279514.10999999184</v>
      </c>
      <c r="G30" s="52">
        <v>2.1504937402235878E-2</v>
      </c>
      <c r="H30" s="53">
        <v>16237</v>
      </c>
      <c r="I30" s="52">
        <v>-8.0421362632383753E-2</v>
      </c>
      <c r="J30" s="53">
        <v>16237</v>
      </c>
      <c r="K30" s="52">
        <v>-8.0421362632383753E-2</v>
      </c>
      <c r="L30" s="53">
        <v>10207</v>
      </c>
      <c r="M30" s="52">
        <v>-7.1837773938346824E-2</v>
      </c>
      <c r="N30" s="53">
        <v>10207</v>
      </c>
      <c r="O30" s="52">
        <v>-7.1837773938346824E-2</v>
      </c>
      <c r="P30" s="51">
        <f t="shared" si="0"/>
        <v>1.5907710394827079</v>
      </c>
      <c r="Q30" s="50">
        <f t="shared" si="1"/>
        <v>27.384550798470837</v>
      </c>
      <c r="R30" s="39" t="s">
        <v>54</v>
      </c>
    </row>
    <row r="31" spans="1:18" x14ac:dyDescent="0.35">
      <c r="A31" s="54">
        <v>1250011</v>
      </c>
      <c r="B31" s="54">
        <v>101088</v>
      </c>
      <c r="C31" s="54" t="s">
        <v>843</v>
      </c>
      <c r="D31" s="51">
        <v>276129.13000000606</v>
      </c>
      <c r="E31" s="52">
        <v>3.3706159534965835E-2</v>
      </c>
      <c r="F31" s="51">
        <v>276129.13000000606</v>
      </c>
      <c r="G31" s="52">
        <v>3.3706159534965835E-2</v>
      </c>
      <c r="H31" s="53">
        <v>16685</v>
      </c>
      <c r="I31" s="52">
        <v>-4.9991459317884186E-2</v>
      </c>
      <c r="J31" s="53">
        <v>16685</v>
      </c>
      <c r="K31" s="52">
        <v>-4.9991459317884186E-2</v>
      </c>
      <c r="L31" s="53">
        <v>10334</v>
      </c>
      <c r="M31" s="52">
        <v>-5.9690627843494083E-2</v>
      </c>
      <c r="N31" s="53">
        <v>10334</v>
      </c>
      <c r="O31" s="52">
        <v>-5.9690627843494083E-2</v>
      </c>
      <c r="P31" s="51">
        <f t="shared" si="0"/>
        <v>1.6145732533384942</v>
      </c>
      <c r="Q31" s="50">
        <f t="shared" si="1"/>
        <v>26.720449970970201</v>
      </c>
      <c r="R31" s="39" t="s">
        <v>54</v>
      </c>
    </row>
    <row r="32" spans="1:18" x14ac:dyDescent="0.35">
      <c r="A32" s="54">
        <v>1230030</v>
      </c>
      <c r="B32" s="54">
        <v>104606</v>
      </c>
      <c r="C32" s="54" t="s">
        <v>842</v>
      </c>
      <c r="D32" s="51">
        <v>274738.12999999203</v>
      </c>
      <c r="E32" s="52">
        <v>3.7964326145617034E-3</v>
      </c>
      <c r="F32" s="51">
        <v>274738.12999999203</v>
      </c>
      <c r="G32" s="52">
        <v>3.7964326145617034E-3</v>
      </c>
      <c r="H32" s="53">
        <v>16964</v>
      </c>
      <c r="I32" s="52">
        <v>-6.1518034963487497E-2</v>
      </c>
      <c r="J32" s="53">
        <v>16964</v>
      </c>
      <c r="K32" s="52">
        <v>-6.1518034963487497E-2</v>
      </c>
      <c r="L32" s="53">
        <v>11883</v>
      </c>
      <c r="M32" s="52">
        <v>-5.7278857596191987E-2</v>
      </c>
      <c r="N32" s="53">
        <v>11883</v>
      </c>
      <c r="O32" s="52">
        <v>-5.7278857596191987E-2</v>
      </c>
      <c r="P32" s="51">
        <f t="shared" si="0"/>
        <v>1.4275856265252882</v>
      </c>
      <c r="Q32" s="50">
        <f t="shared" si="1"/>
        <v>23.120266767650595</v>
      </c>
      <c r="R32" s="39" t="s">
        <v>51</v>
      </c>
    </row>
    <row r="33" spans="1:18" x14ac:dyDescent="0.35">
      <c r="A33" s="54">
        <v>1240049</v>
      </c>
      <c r="B33" s="54">
        <v>100919</v>
      </c>
      <c r="C33" s="54" t="s">
        <v>841</v>
      </c>
      <c r="D33" s="51">
        <v>274528.90999999933</v>
      </c>
      <c r="E33" s="52">
        <v>4.7466966962289886E-2</v>
      </c>
      <c r="F33" s="51">
        <v>274528.90999999933</v>
      </c>
      <c r="G33" s="52">
        <v>4.7466966962289886E-2</v>
      </c>
      <c r="H33" s="53">
        <v>16820</v>
      </c>
      <c r="I33" s="52">
        <v>-6.3422239545631712E-2</v>
      </c>
      <c r="J33" s="53">
        <v>16820</v>
      </c>
      <c r="K33" s="52">
        <v>-6.3422239545631712E-2</v>
      </c>
      <c r="L33" s="53">
        <v>10533</v>
      </c>
      <c r="M33" s="52">
        <v>-4.8251558687991324E-2</v>
      </c>
      <c r="N33" s="53">
        <v>10533</v>
      </c>
      <c r="O33" s="52">
        <v>-4.8251558687991324E-2</v>
      </c>
      <c r="P33" s="51">
        <f t="shared" si="0"/>
        <v>1.5968859774043482</v>
      </c>
      <c r="Q33" s="50">
        <f t="shared" si="1"/>
        <v>26.063696003038007</v>
      </c>
      <c r="R33" s="39" t="s">
        <v>54</v>
      </c>
    </row>
    <row r="34" spans="1:18" x14ac:dyDescent="0.35">
      <c r="A34" s="54">
        <v>1230029</v>
      </c>
      <c r="B34" s="54">
        <v>101718</v>
      </c>
      <c r="C34" s="54" t="s">
        <v>840</v>
      </c>
      <c r="D34" s="51">
        <v>272462.88000001136</v>
      </c>
      <c r="E34" s="52">
        <v>0.20259297597083398</v>
      </c>
      <c r="F34" s="51">
        <v>272462.88000001136</v>
      </c>
      <c r="G34" s="52">
        <v>0.20259297597083398</v>
      </c>
      <c r="H34" s="53">
        <v>17499</v>
      </c>
      <c r="I34" s="52">
        <v>9.2663128317202623E-2</v>
      </c>
      <c r="J34" s="53">
        <v>17499</v>
      </c>
      <c r="K34" s="52">
        <v>9.2663128317202623E-2</v>
      </c>
      <c r="L34" s="53">
        <v>10080</v>
      </c>
      <c r="M34" s="52">
        <v>0.17688266199649738</v>
      </c>
      <c r="N34" s="53">
        <v>10080</v>
      </c>
      <c r="O34" s="52">
        <v>0.17688266199649738</v>
      </c>
      <c r="P34" s="51">
        <f t="shared" si="0"/>
        <v>1.7360119047619047</v>
      </c>
      <c r="Q34" s="50">
        <f t="shared" si="1"/>
        <v>27.030047619048744</v>
      </c>
      <c r="R34" s="39" t="s">
        <v>54</v>
      </c>
    </row>
    <row r="35" spans="1:18" x14ac:dyDescent="0.35">
      <c r="A35" s="54">
        <v>1240047</v>
      </c>
      <c r="B35" s="54">
        <v>105518</v>
      </c>
      <c r="C35" s="54" t="s">
        <v>839</v>
      </c>
      <c r="D35" s="51">
        <v>268722.89000000537</v>
      </c>
      <c r="E35" s="52">
        <v>0.19601623879903018</v>
      </c>
      <c r="F35" s="51">
        <v>268722.89000000537</v>
      </c>
      <c r="G35" s="52">
        <v>0.19601623879903018</v>
      </c>
      <c r="H35" s="53">
        <v>18474.999800000001</v>
      </c>
      <c r="I35" s="52">
        <v>8.6061948151196374E-2</v>
      </c>
      <c r="J35" s="53">
        <v>18474.999800000001</v>
      </c>
      <c r="K35" s="52">
        <v>8.6061948151196374E-2</v>
      </c>
      <c r="L35" s="53">
        <v>11825</v>
      </c>
      <c r="M35" s="52">
        <v>9.4907407407407413E-2</v>
      </c>
      <c r="N35" s="53">
        <v>11825</v>
      </c>
      <c r="O35" s="52">
        <v>9.4907407407407413E-2</v>
      </c>
      <c r="P35" s="51">
        <f t="shared" si="0"/>
        <v>1.5623678477801271</v>
      </c>
      <c r="Q35" s="50">
        <f t="shared" si="1"/>
        <v>22.724980126850348</v>
      </c>
      <c r="R35" s="39" t="s">
        <v>54</v>
      </c>
    </row>
    <row r="36" spans="1:18" x14ac:dyDescent="0.35">
      <c r="A36" s="54">
        <v>1250007</v>
      </c>
      <c r="B36" s="54">
        <v>101084</v>
      </c>
      <c r="C36" s="54" t="s">
        <v>838</v>
      </c>
      <c r="D36" s="51">
        <v>268573.06999999174</v>
      </c>
      <c r="E36" s="52">
        <v>-9.9262384246045568E-2</v>
      </c>
      <c r="F36" s="51">
        <v>268573.06999999174</v>
      </c>
      <c r="G36" s="52">
        <v>-9.9262384246045568E-2</v>
      </c>
      <c r="H36" s="53">
        <v>15648</v>
      </c>
      <c r="I36" s="52">
        <v>-0.17376841438301915</v>
      </c>
      <c r="J36" s="53">
        <v>15648</v>
      </c>
      <c r="K36" s="52">
        <v>-0.17376841438301915</v>
      </c>
      <c r="L36" s="53">
        <v>10789</v>
      </c>
      <c r="M36" s="52">
        <v>-0.16292962991698348</v>
      </c>
      <c r="N36" s="53">
        <v>10789</v>
      </c>
      <c r="O36" s="52">
        <v>-0.16292962991698348</v>
      </c>
      <c r="P36" s="51">
        <f t="shared" si="0"/>
        <v>1.4503661136342572</v>
      </c>
      <c r="Q36" s="50">
        <f t="shared" si="1"/>
        <v>24.893231068680297</v>
      </c>
      <c r="R36" s="39" t="s">
        <v>51</v>
      </c>
    </row>
    <row r="37" spans="1:18" x14ac:dyDescent="0.35">
      <c r="A37" s="54">
        <v>1150002</v>
      </c>
      <c r="B37" s="54">
        <v>100401</v>
      </c>
      <c r="C37" s="54" t="s">
        <v>837</v>
      </c>
      <c r="D37" s="51">
        <v>267076.12000000133</v>
      </c>
      <c r="E37" s="52">
        <v>-5.2277075087553221E-2</v>
      </c>
      <c r="F37" s="51">
        <v>267076.12000000133</v>
      </c>
      <c r="G37" s="52">
        <v>-5.2277075087553221E-2</v>
      </c>
      <c r="H37" s="53">
        <v>16624</v>
      </c>
      <c r="I37" s="52">
        <v>-0.13507663812031095</v>
      </c>
      <c r="J37" s="53">
        <v>16624</v>
      </c>
      <c r="K37" s="52">
        <v>-0.13507663812031095</v>
      </c>
      <c r="L37" s="53">
        <v>9538</v>
      </c>
      <c r="M37" s="52">
        <v>-0.14079812629492838</v>
      </c>
      <c r="N37" s="53">
        <v>9538</v>
      </c>
      <c r="O37" s="52">
        <v>-0.14079812629492838</v>
      </c>
      <c r="P37" s="51">
        <f t="shared" si="0"/>
        <v>1.7429230446634514</v>
      </c>
      <c r="Q37" s="50">
        <f t="shared" si="1"/>
        <v>28.001270706647237</v>
      </c>
      <c r="R37" s="39" t="s">
        <v>54</v>
      </c>
    </row>
    <row r="38" spans="1:18" x14ac:dyDescent="0.35">
      <c r="A38" s="54">
        <v>1230047</v>
      </c>
      <c r="B38" s="54">
        <v>100595</v>
      </c>
      <c r="C38" s="54" t="s">
        <v>836</v>
      </c>
      <c r="D38" s="51">
        <v>264647.56999999058</v>
      </c>
      <c r="E38" s="52">
        <v>0.12691845630035889</v>
      </c>
      <c r="F38" s="51">
        <v>264647.56999999058</v>
      </c>
      <c r="G38" s="52">
        <v>0.12691845630035889</v>
      </c>
      <c r="H38" s="53">
        <v>15623</v>
      </c>
      <c r="I38" s="52">
        <v>3.7590489473334661E-2</v>
      </c>
      <c r="J38" s="53">
        <v>15623</v>
      </c>
      <c r="K38" s="52">
        <v>3.7590489473334661E-2</v>
      </c>
      <c r="L38" s="53">
        <v>10135</v>
      </c>
      <c r="M38" s="52">
        <v>2.7786228577223404E-2</v>
      </c>
      <c r="N38" s="53">
        <v>10135</v>
      </c>
      <c r="O38" s="52">
        <v>2.7786228577223404E-2</v>
      </c>
      <c r="P38" s="51">
        <f t="shared" si="0"/>
        <v>1.5414898865318205</v>
      </c>
      <c r="Q38" s="50">
        <f t="shared" si="1"/>
        <v>26.112241736555557</v>
      </c>
      <c r="R38" s="39" t="s">
        <v>54</v>
      </c>
    </row>
    <row r="39" spans="1:18" x14ac:dyDescent="0.35">
      <c r="A39" s="54">
        <v>1240056</v>
      </c>
      <c r="B39" s="54">
        <v>104583</v>
      </c>
      <c r="C39" s="54" t="s">
        <v>835</v>
      </c>
      <c r="D39" s="51">
        <v>262560.40000000544</v>
      </c>
      <c r="E39" s="52">
        <v>-0.13622727241769797</v>
      </c>
      <c r="F39" s="51">
        <v>262560.40000000544</v>
      </c>
      <c r="G39" s="52">
        <v>-0.13622727241769797</v>
      </c>
      <c r="H39" s="53">
        <v>16956</v>
      </c>
      <c r="I39" s="52">
        <v>-0.22191629955947137</v>
      </c>
      <c r="J39" s="53">
        <v>16956</v>
      </c>
      <c r="K39" s="52">
        <v>-0.22191629955947137</v>
      </c>
      <c r="L39" s="53">
        <v>10818</v>
      </c>
      <c r="M39" s="52">
        <v>-0.21580282711127219</v>
      </c>
      <c r="N39" s="53">
        <v>10818</v>
      </c>
      <c r="O39" s="52">
        <v>-0.21580282711127219</v>
      </c>
      <c r="P39" s="51">
        <f t="shared" si="0"/>
        <v>1.5673876871880199</v>
      </c>
      <c r="Q39" s="50">
        <f t="shared" si="1"/>
        <v>24.270696986504479</v>
      </c>
      <c r="R39" s="39" t="s">
        <v>54</v>
      </c>
    </row>
    <row r="40" spans="1:18" x14ac:dyDescent="0.35">
      <c r="A40" s="54">
        <v>1190004</v>
      </c>
      <c r="B40" s="54">
        <v>100247</v>
      </c>
      <c r="C40" s="54" t="s">
        <v>834</v>
      </c>
      <c r="D40" s="51">
        <v>261427.70999999752</v>
      </c>
      <c r="E40" s="52">
        <v>0.1287009717974231</v>
      </c>
      <c r="F40" s="51">
        <v>261427.70999999752</v>
      </c>
      <c r="G40" s="52">
        <v>0.1287009717974231</v>
      </c>
      <c r="H40" s="53">
        <v>15415</v>
      </c>
      <c r="I40" s="52">
        <v>1.4078021182816919E-2</v>
      </c>
      <c r="J40" s="53">
        <v>15415</v>
      </c>
      <c r="K40" s="52">
        <v>1.4078021182816919E-2</v>
      </c>
      <c r="L40" s="53">
        <v>10995</v>
      </c>
      <c r="M40" s="52">
        <v>5.2556002297530158E-2</v>
      </c>
      <c r="N40" s="53">
        <v>10995</v>
      </c>
      <c r="O40" s="52">
        <v>5.2556002297530158E-2</v>
      </c>
      <c r="P40" s="51">
        <f t="shared" si="0"/>
        <v>1.4020009095043202</v>
      </c>
      <c r="Q40" s="50">
        <f t="shared" si="1"/>
        <v>23.776963165074807</v>
      </c>
      <c r="R40" s="39" t="s">
        <v>51</v>
      </c>
    </row>
    <row r="41" spans="1:18" x14ac:dyDescent="0.35">
      <c r="A41" s="54">
        <v>1240041</v>
      </c>
      <c r="B41" s="54">
        <v>100913</v>
      </c>
      <c r="C41" s="54" t="s">
        <v>833</v>
      </c>
      <c r="D41" s="51">
        <v>258937.11000000965</v>
      </c>
      <c r="E41" s="52">
        <v>0.28809770310724392</v>
      </c>
      <c r="F41" s="51">
        <v>258937.11000000965</v>
      </c>
      <c r="G41" s="52">
        <v>0.28809770310724392</v>
      </c>
      <c r="H41" s="53">
        <v>18540</v>
      </c>
      <c r="I41" s="52">
        <v>0.15191053122087605</v>
      </c>
      <c r="J41" s="53">
        <v>18540</v>
      </c>
      <c r="K41" s="52">
        <v>0.15191053122087605</v>
      </c>
      <c r="L41" s="53">
        <v>12018</v>
      </c>
      <c r="M41" s="52">
        <v>0.17939156035328754</v>
      </c>
      <c r="N41" s="53">
        <v>12018</v>
      </c>
      <c r="O41" s="52">
        <v>0.17939156035328754</v>
      </c>
      <c r="P41" s="51">
        <f t="shared" si="0"/>
        <v>1.5426859710434349</v>
      </c>
      <c r="Q41" s="50">
        <f t="shared" si="1"/>
        <v>21.545773839241942</v>
      </c>
      <c r="R41" s="39" t="s">
        <v>54</v>
      </c>
    </row>
    <row r="42" spans="1:18" x14ac:dyDescent="0.35">
      <c r="A42" s="54">
        <v>1240436</v>
      </c>
      <c r="B42" s="54">
        <v>107878</v>
      </c>
      <c r="C42" s="54" t="s">
        <v>832</v>
      </c>
      <c r="D42" s="51">
        <v>256340.37999999954</v>
      </c>
      <c r="E42" s="52"/>
      <c r="F42" s="51"/>
      <c r="G42" s="52"/>
      <c r="H42" s="53">
        <v>16744</v>
      </c>
      <c r="I42" s="52" t="s">
        <v>52</v>
      </c>
      <c r="J42" s="53"/>
      <c r="K42" s="52"/>
      <c r="L42" s="53">
        <v>10340</v>
      </c>
      <c r="M42" s="52" t="s">
        <v>52</v>
      </c>
      <c r="N42" s="53"/>
      <c r="O42" s="52"/>
      <c r="P42" s="51">
        <f t="shared" si="0"/>
        <v>1.6193423597678918</v>
      </c>
      <c r="Q42" s="50">
        <f t="shared" si="1"/>
        <v>24.791139264990285</v>
      </c>
      <c r="R42" s="39" t="s">
        <v>54</v>
      </c>
    </row>
    <row r="43" spans="1:18" x14ac:dyDescent="0.35">
      <c r="A43" s="54">
        <v>1240131</v>
      </c>
      <c r="B43" s="54">
        <v>100364</v>
      </c>
      <c r="C43" s="54" t="s">
        <v>831</v>
      </c>
      <c r="D43" s="51">
        <v>253118.79000001069</v>
      </c>
      <c r="E43" s="52">
        <v>3.7935723292363596E-2</v>
      </c>
      <c r="F43" s="51">
        <v>253118.79000001069</v>
      </c>
      <c r="G43" s="52">
        <v>3.7935723292363596E-2</v>
      </c>
      <c r="H43" s="53">
        <v>15712</v>
      </c>
      <c r="I43" s="52">
        <v>-5.4576087610566218E-2</v>
      </c>
      <c r="J43" s="53">
        <v>15712</v>
      </c>
      <c r="K43" s="52">
        <v>-5.4576087610566218E-2</v>
      </c>
      <c r="L43" s="53">
        <v>9900</v>
      </c>
      <c r="M43" s="52">
        <v>-3.5651665692577439E-2</v>
      </c>
      <c r="N43" s="53">
        <v>9900</v>
      </c>
      <c r="O43" s="52">
        <v>-3.5651665692577439E-2</v>
      </c>
      <c r="P43" s="51">
        <f t="shared" si="0"/>
        <v>1.5870707070707071</v>
      </c>
      <c r="Q43" s="50">
        <f t="shared" si="1"/>
        <v>25.567554545455625</v>
      </c>
      <c r="R43" s="39" t="s">
        <v>54</v>
      </c>
    </row>
    <row r="44" spans="1:18" x14ac:dyDescent="0.35">
      <c r="A44" s="54">
        <v>1230013</v>
      </c>
      <c r="B44" s="54">
        <v>104614</v>
      </c>
      <c r="C44" s="54" t="s">
        <v>830</v>
      </c>
      <c r="D44" s="51">
        <v>252687.46000000235</v>
      </c>
      <c r="E44" s="52">
        <v>0.87913142190823934</v>
      </c>
      <c r="F44" s="51">
        <v>177641.29999999833</v>
      </c>
      <c r="G44" s="52">
        <v>0.321044378928111</v>
      </c>
      <c r="H44" s="53">
        <v>16832</v>
      </c>
      <c r="I44" s="52">
        <v>0.68168648216605054</v>
      </c>
      <c r="J44" s="53">
        <v>11870</v>
      </c>
      <c r="K44" s="52">
        <v>0.1859326606054551</v>
      </c>
      <c r="L44" s="53">
        <v>12075</v>
      </c>
      <c r="M44" s="52">
        <v>0.66070691789299962</v>
      </c>
      <c r="N44" s="53">
        <v>8483</v>
      </c>
      <c r="O44" s="52">
        <v>0.16668958877733461</v>
      </c>
      <c r="P44" s="51">
        <f t="shared" si="0"/>
        <v>1.3939544513457558</v>
      </c>
      <c r="Q44" s="50">
        <f t="shared" si="1"/>
        <v>20.926497722567483</v>
      </c>
      <c r="R44" s="39" t="s">
        <v>51</v>
      </c>
    </row>
    <row r="45" spans="1:18" x14ac:dyDescent="0.35">
      <c r="A45" s="54">
        <v>1240138</v>
      </c>
      <c r="B45" s="54">
        <v>105805</v>
      </c>
      <c r="C45" s="54" t="s">
        <v>829</v>
      </c>
      <c r="D45" s="51">
        <v>250378.45000001061</v>
      </c>
      <c r="E45" s="52">
        <v>-6.9746035157107825E-2</v>
      </c>
      <c r="F45" s="51">
        <v>250378.45000001061</v>
      </c>
      <c r="G45" s="52">
        <v>-6.9746035157107825E-2</v>
      </c>
      <c r="H45" s="53">
        <v>15815</v>
      </c>
      <c r="I45" s="52">
        <v>-0.15581296039286857</v>
      </c>
      <c r="J45" s="53">
        <v>15815</v>
      </c>
      <c r="K45" s="52">
        <v>-0.15581296039286857</v>
      </c>
      <c r="L45" s="53">
        <v>9989</v>
      </c>
      <c r="M45" s="52">
        <v>-0.15867935652320392</v>
      </c>
      <c r="N45" s="53">
        <v>9989</v>
      </c>
      <c r="O45" s="52">
        <v>-0.15867935652320392</v>
      </c>
      <c r="P45" s="51">
        <f t="shared" si="0"/>
        <v>1.5832415657222945</v>
      </c>
      <c r="Q45" s="50">
        <f t="shared" si="1"/>
        <v>25.065416958655582</v>
      </c>
      <c r="R45" s="39" t="s">
        <v>54</v>
      </c>
    </row>
    <row r="46" spans="1:18" x14ac:dyDescent="0.35">
      <c r="A46" s="54">
        <v>1240016</v>
      </c>
      <c r="B46" s="54">
        <v>101973</v>
      </c>
      <c r="C46" s="54" t="s">
        <v>828</v>
      </c>
      <c r="D46" s="51">
        <v>244871.49000000657</v>
      </c>
      <c r="E46" s="52">
        <v>-9.432995267144037E-2</v>
      </c>
      <c r="F46" s="51">
        <v>244871.49000000657</v>
      </c>
      <c r="G46" s="52">
        <v>-9.432995267144037E-2</v>
      </c>
      <c r="H46" s="53">
        <v>14970</v>
      </c>
      <c r="I46" s="52">
        <v>-0.19762019617301818</v>
      </c>
      <c r="J46" s="53">
        <v>14970</v>
      </c>
      <c r="K46" s="52">
        <v>-0.19762019617301818</v>
      </c>
      <c r="L46" s="53">
        <v>9722</v>
      </c>
      <c r="M46" s="52">
        <v>-0.21489138334813856</v>
      </c>
      <c r="N46" s="53">
        <v>9722</v>
      </c>
      <c r="O46" s="52">
        <v>-0.21489138334813856</v>
      </c>
      <c r="P46" s="51">
        <f t="shared" si="0"/>
        <v>1.5398066241514092</v>
      </c>
      <c r="Q46" s="50">
        <f t="shared" si="1"/>
        <v>25.187357539601582</v>
      </c>
      <c r="R46" s="39" t="s">
        <v>54</v>
      </c>
    </row>
    <row r="47" spans="1:18" x14ac:dyDescent="0.35">
      <c r="A47" s="54">
        <v>1240086</v>
      </c>
      <c r="B47" s="54">
        <v>103103</v>
      </c>
      <c r="C47" s="54" t="s">
        <v>827</v>
      </c>
      <c r="D47" s="51">
        <v>244724.87000000349</v>
      </c>
      <c r="E47" s="52">
        <v>-1.1490387710889477E-2</v>
      </c>
      <c r="F47" s="51">
        <v>244724.87000000349</v>
      </c>
      <c r="G47" s="52">
        <v>-1.1490387710889477E-2</v>
      </c>
      <c r="H47" s="53">
        <v>15658</v>
      </c>
      <c r="I47" s="52">
        <v>-0.11210660618089027</v>
      </c>
      <c r="J47" s="53">
        <v>15658</v>
      </c>
      <c r="K47" s="52">
        <v>-0.11210660618089027</v>
      </c>
      <c r="L47" s="53">
        <v>10411</v>
      </c>
      <c r="M47" s="52">
        <v>-9.256515296783753E-2</v>
      </c>
      <c r="N47" s="53">
        <v>10411</v>
      </c>
      <c r="O47" s="52">
        <v>-9.256515296783753E-2</v>
      </c>
      <c r="P47" s="51">
        <f t="shared" si="0"/>
        <v>1.5039861684756508</v>
      </c>
      <c r="Q47" s="50">
        <f t="shared" si="1"/>
        <v>23.506374987993805</v>
      </c>
      <c r="R47" s="39" t="s">
        <v>54</v>
      </c>
    </row>
    <row r="48" spans="1:18" x14ac:dyDescent="0.35">
      <c r="A48" s="54">
        <v>1240147</v>
      </c>
      <c r="B48" s="54">
        <v>100378</v>
      </c>
      <c r="C48" s="54" t="s">
        <v>826</v>
      </c>
      <c r="D48" s="51">
        <v>243201.28000000969</v>
      </c>
      <c r="E48" s="52">
        <v>1.4826825637556367E-2</v>
      </c>
      <c r="F48" s="51">
        <v>243201.28000000969</v>
      </c>
      <c r="G48" s="52">
        <v>1.4826825637556367E-2</v>
      </c>
      <c r="H48" s="53">
        <v>15445</v>
      </c>
      <c r="I48" s="52">
        <v>-8.1420245033900315E-2</v>
      </c>
      <c r="J48" s="53">
        <v>15445</v>
      </c>
      <c r="K48" s="52">
        <v>-8.1420245033900315E-2</v>
      </c>
      <c r="L48" s="53">
        <v>9986</v>
      </c>
      <c r="M48" s="52">
        <v>-7.3912640267087076E-2</v>
      </c>
      <c r="N48" s="53">
        <v>9986</v>
      </c>
      <c r="O48" s="52">
        <v>-7.3912640267087076E-2</v>
      </c>
      <c r="P48" s="51">
        <f t="shared" si="0"/>
        <v>1.5466653314640497</v>
      </c>
      <c r="Q48" s="50">
        <f t="shared" si="1"/>
        <v>24.354223913479842</v>
      </c>
      <c r="R48" s="39" t="s">
        <v>54</v>
      </c>
    </row>
    <row r="49" spans="1:18" x14ac:dyDescent="0.35">
      <c r="A49" s="54">
        <v>1200003</v>
      </c>
      <c r="B49" s="54">
        <v>103956</v>
      </c>
      <c r="C49" s="54" t="s">
        <v>825</v>
      </c>
      <c r="D49" s="51">
        <v>239229.22000000556</v>
      </c>
      <c r="E49" s="52">
        <v>0.13666380128069866</v>
      </c>
      <c r="F49" s="51">
        <v>239229.22000000556</v>
      </c>
      <c r="G49" s="52">
        <v>0.13666380128069866</v>
      </c>
      <c r="H49" s="53">
        <v>14385</v>
      </c>
      <c r="I49" s="52">
        <v>1.6535933856264576E-2</v>
      </c>
      <c r="J49" s="53">
        <v>14385</v>
      </c>
      <c r="K49" s="52">
        <v>1.6535933856264576E-2</v>
      </c>
      <c r="L49" s="53">
        <v>9646</v>
      </c>
      <c r="M49" s="52">
        <v>2.8906666666666667E-2</v>
      </c>
      <c r="N49" s="53">
        <v>9646</v>
      </c>
      <c r="O49" s="52">
        <v>2.8906666666666667E-2</v>
      </c>
      <c r="P49" s="51">
        <f t="shared" si="0"/>
        <v>1.4912917271407837</v>
      </c>
      <c r="Q49" s="50">
        <f t="shared" si="1"/>
        <v>24.800872900684798</v>
      </c>
      <c r="R49" s="39" t="s">
        <v>51</v>
      </c>
    </row>
    <row r="50" spans="1:18" x14ac:dyDescent="0.35">
      <c r="A50" s="54">
        <v>1200007</v>
      </c>
      <c r="B50" s="54">
        <v>104630</v>
      </c>
      <c r="C50" s="54" t="s">
        <v>824</v>
      </c>
      <c r="D50" s="51">
        <v>235019.60000000778</v>
      </c>
      <c r="E50" s="52">
        <v>0.67407996676624193</v>
      </c>
      <c r="F50" s="51">
        <v>183139.37000000491</v>
      </c>
      <c r="G50" s="52">
        <v>0.30452928369884286</v>
      </c>
      <c r="H50" s="53">
        <v>14015</v>
      </c>
      <c r="I50" s="52">
        <v>0.56365056342742381</v>
      </c>
      <c r="J50" s="53">
        <v>10906</v>
      </c>
      <c r="K50" s="52">
        <v>0.21678009595001674</v>
      </c>
      <c r="L50" s="53">
        <v>9461</v>
      </c>
      <c r="M50" s="52">
        <v>0.59733243288873883</v>
      </c>
      <c r="N50" s="53">
        <v>7339</v>
      </c>
      <c r="O50" s="52">
        <v>0.23906803984467331</v>
      </c>
      <c r="P50" s="51">
        <f t="shared" si="0"/>
        <v>1.4813444667582707</v>
      </c>
      <c r="Q50" s="50">
        <f t="shared" si="1"/>
        <v>24.840883627524338</v>
      </c>
      <c r="R50" s="39" t="s">
        <v>51</v>
      </c>
    </row>
    <row r="51" spans="1:18" x14ac:dyDescent="0.35">
      <c r="A51" s="54">
        <v>1230024</v>
      </c>
      <c r="B51" s="54">
        <v>104613</v>
      </c>
      <c r="C51" s="54" t="s">
        <v>823</v>
      </c>
      <c r="D51" s="51">
        <v>233128.34000000922</v>
      </c>
      <c r="E51" s="52">
        <v>-0.19654193155270952</v>
      </c>
      <c r="F51" s="51">
        <v>233128.34000000922</v>
      </c>
      <c r="G51" s="52">
        <v>-0.19654193155270952</v>
      </c>
      <c r="H51" s="53">
        <v>16351</v>
      </c>
      <c r="I51" s="52">
        <v>-0.2723510302167238</v>
      </c>
      <c r="J51" s="53">
        <v>16351</v>
      </c>
      <c r="K51" s="52">
        <v>-0.2723510302167238</v>
      </c>
      <c r="L51" s="53">
        <v>11484</v>
      </c>
      <c r="M51" s="52">
        <v>-0.24842931937172774</v>
      </c>
      <c r="N51" s="53">
        <v>11484</v>
      </c>
      <c r="O51" s="52">
        <v>-0.24842931937172774</v>
      </c>
      <c r="P51" s="51">
        <f t="shared" si="0"/>
        <v>1.4238070358760013</v>
      </c>
      <c r="Q51" s="50">
        <f t="shared" si="1"/>
        <v>20.300273423894918</v>
      </c>
      <c r="R51" s="39" t="s">
        <v>51</v>
      </c>
    </row>
    <row r="52" spans="1:18" x14ac:dyDescent="0.35">
      <c r="A52" s="54">
        <v>1100021</v>
      </c>
      <c r="B52" s="54">
        <v>107932</v>
      </c>
      <c r="C52" s="54" t="s">
        <v>822</v>
      </c>
      <c r="D52" s="51">
        <v>231554.8299999999</v>
      </c>
      <c r="E52" s="52"/>
      <c r="F52" s="51"/>
      <c r="G52" s="52"/>
      <c r="H52" s="53">
        <v>13596</v>
      </c>
      <c r="I52" s="52" t="s">
        <v>52</v>
      </c>
      <c r="J52" s="53"/>
      <c r="K52" s="52"/>
      <c r="L52" s="53">
        <v>8999</v>
      </c>
      <c r="M52" s="52" t="s">
        <v>52</v>
      </c>
      <c r="N52" s="53"/>
      <c r="O52" s="52"/>
      <c r="P52" s="51">
        <f t="shared" si="0"/>
        <v>1.5108345371707967</v>
      </c>
      <c r="Q52" s="50">
        <f t="shared" si="1"/>
        <v>25.731173463718179</v>
      </c>
      <c r="R52" s="39" t="s">
        <v>54</v>
      </c>
    </row>
    <row r="53" spans="1:18" x14ac:dyDescent="0.35">
      <c r="A53" s="54">
        <v>1240119</v>
      </c>
      <c r="B53" s="54">
        <v>100359</v>
      </c>
      <c r="C53" s="54" t="s">
        <v>821</v>
      </c>
      <c r="D53" s="51">
        <v>230105.00000000326</v>
      </c>
      <c r="E53" s="52">
        <v>-6.8720234905686461E-2</v>
      </c>
      <c r="F53" s="51">
        <v>230105.00000000326</v>
      </c>
      <c r="G53" s="52">
        <v>-6.8720234905686461E-2</v>
      </c>
      <c r="H53" s="53">
        <v>14271</v>
      </c>
      <c r="I53" s="52">
        <v>-0.19116980276581275</v>
      </c>
      <c r="J53" s="53">
        <v>14271</v>
      </c>
      <c r="K53" s="52">
        <v>-0.19116980276581275</v>
      </c>
      <c r="L53" s="53">
        <v>9221</v>
      </c>
      <c r="M53" s="52">
        <v>-0.18779177309962125</v>
      </c>
      <c r="N53" s="53">
        <v>9221</v>
      </c>
      <c r="O53" s="52">
        <v>-0.18779177309962125</v>
      </c>
      <c r="P53" s="51">
        <f t="shared" si="0"/>
        <v>1.5476629432816398</v>
      </c>
      <c r="Q53" s="50">
        <f t="shared" si="1"/>
        <v>24.954451794816535</v>
      </c>
      <c r="R53" s="39" t="s">
        <v>54</v>
      </c>
    </row>
    <row r="54" spans="1:18" x14ac:dyDescent="0.35">
      <c r="A54" s="54">
        <v>1240133</v>
      </c>
      <c r="B54" s="54">
        <v>104590</v>
      </c>
      <c r="C54" s="54" t="s">
        <v>820</v>
      </c>
      <c r="D54" s="51">
        <v>229106.05000001058</v>
      </c>
      <c r="E54" s="52">
        <v>3.6418072681549667E-2</v>
      </c>
      <c r="F54" s="51">
        <v>229106.05000001058</v>
      </c>
      <c r="G54" s="52">
        <v>3.6418072681549667E-2</v>
      </c>
      <c r="H54" s="53">
        <v>14280</v>
      </c>
      <c r="I54" s="52">
        <v>-7.7757685352622063E-2</v>
      </c>
      <c r="J54" s="53">
        <v>14280</v>
      </c>
      <c r="K54" s="52">
        <v>-7.7757685352622063E-2</v>
      </c>
      <c r="L54" s="53">
        <v>9376</v>
      </c>
      <c r="M54" s="52">
        <v>-6.4084647634258335E-2</v>
      </c>
      <c r="N54" s="53">
        <v>9376</v>
      </c>
      <c r="O54" s="52">
        <v>-6.4084647634258335E-2</v>
      </c>
      <c r="P54" s="51">
        <f t="shared" si="0"/>
        <v>1.5230375426621161</v>
      </c>
      <c r="Q54" s="50">
        <f t="shared" si="1"/>
        <v>24.435372226963587</v>
      </c>
      <c r="R54" s="39" t="s">
        <v>54</v>
      </c>
    </row>
    <row r="55" spans="1:18" x14ac:dyDescent="0.35">
      <c r="A55" s="54">
        <v>1230043</v>
      </c>
      <c r="B55" s="54">
        <v>100478</v>
      </c>
      <c r="C55" s="54" t="s">
        <v>819</v>
      </c>
      <c r="D55" s="51">
        <v>229049.49000001047</v>
      </c>
      <c r="E55" s="52">
        <v>0.26874850822708979</v>
      </c>
      <c r="F55" s="51">
        <v>229049.49000001047</v>
      </c>
      <c r="G55" s="52">
        <v>0.26874850822708979</v>
      </c>
      <c r="H55" s="53">
        <v>15002</v>
      </c>
      <c r="I55" s="52">
        <v>0.13179932101093927</v>
      </c>
      <c r="J55" s="53">
        <v>15002</v>
      </c>
      <c r="K55" s="52">
        <v>0.13179932101093927</v>
      </c>
      <c r="L55" s="53">
        <v>9408</v>
      </c>
      <c r="M55" s="52">
        <v>0.1192005710206995</v>
      </c>
      <c r="N55" s="53">
        <v>9408</v>
      </c>
      <c r="O55" s="52">
        <v>0.1192005710206995</v>
      </c>
      <c r="P55" s="51">
        <f t="shared" si="0"/>
        <v>1.5946003401360545</v>
      </c>
      <c r="Q55" s="50">
        <f t="shared" si="1"/>
        <v>24.346246811225601</v>
      </c>
      <c r="R55" s="39" t="s">
        <v>54</v>
      </c>
    </row>
    <row r="56" spans="1:18" x14ac:dyDescent="0.35">
      <c r="A56" s="54">
        <v>1240174</v>
      </c>
      <c r="B56" s="54">
        <v>104052</v>
      </c>
      <c r="C56" s="54" t="s">
        <v>818</v>
      </c>
      <c r="D56" s="51">
        <v>228866.66999999562</v>
      </c>
      <c r="E56" s="52">
        <v>3.4728549342850391E-3</v>
      </c>
      <c r="F56" s="51">
        <v>228866.66999999562</v>
      </c>
      <c r="G56" s="52">
        <v>3.4728549342850391E-3</v>
      </c>
      <c r="H56" s="53">
        <v>12356</v>
      </c>
      <c r="I56" s="52">
        <v>-9.0534373619902839E-2</v>
      </c>
      <c r="J56" s="53">
        <v>12356</v>
      </c>
      <c r="K56" s="52">
        <v>-9.0534373619902839E-2</v>
      </c>
      <c r="L56" s="53">
        <v>8231</v>
      </c>
      <c r="M56" s="52">
        <v>-7.3502926609635297E-2</v>
      </c>
      <c r="N56" s="53">
        <v>8231</v>
      </c>
      <c r="O56" s="52">
        <v>-7.3502926609635297E-2</v>
      </c>
      <c r="P56" s="51">
        <f t="shared" si="0"/>
        <v>1.5011541732474791</v>
      </c>
      <c r="Q56" s="50">
        <f t="shared" si="1"/>
        <v>27.805451342485192</v>
      </c>
      <c r="R56" s="39" t="s">
        <v>54</v>
      </c>
    </row>
    <row r="57" spans="1:18" x14ac:dyDescent="0.35">
      <c r="A57" s="54">
        <v>1240234</v>
      </c>
      <c r="B57" s="54">
        <v>104578</v>
      </c>
      <c r="C57" s="54" t="s">
        <v>817</v>
      </c>
      <c r="D57" s="51">
        <v>226714.79000001089</v>
      </c>
      <c r="E57" s="52">
        <v>7.3960039165976363E-2</v>
      </c>
      <c r="F57" s="51">
        <v>226714.79000001089</v>
      </c>
      <c r="G57" s="52">
        <v>7.3960039165976363E-2</v>
      </c>
      <c r="H57" s="53">
        <v>15913</v>
      </c>
      <c r="I57" s="52">
        <v>-8.2268619507634769E-3</v>
      </c>
      <c r="J57" s="53">
        <v>15913</v>
      </c>
      <c r="K57" s="52">
        <v>-8.2268619507634769E-3</v>
      </c>
      <c r="L57" s="53">
        <v>9834</v>
      </c>
      <c r="M57" s="52">
        <v>1.256177924217463E-2</v>
      </c>
      <c r="N57" s="53">
        <v>9834</v>
      </c>
      <c r="O57" s="52">
        <v>1.256177924217463E-2</v>
      </c>
      <c r="P57" s="51">
        <f t="shared" si="0"/>
        <v>1.6181614805775879</v>
      </c>
      <c r="Q57" s="50">
        <f t="shared" si="1"/>
        <v>23.054178360790207</v>
      </c>
      <c r="R57" s="39" t="s">
        <v>54</v>
      </c>
    </row>
    <row r="58" spans="1:18" x14ac:dyDescent="0.35">
      <c r="A58" s="54">
        <v>1240166</v>
      </c>
      <c r="B58" s="54">
        <v>102136</v>
      </c>
      <c r="C58" s="54" t="s">
        <v>816</v>
      </c>
      <c r="D58" s="51">
        <v>226363.31000000605</v>
      </c>
      <c r="E58" s="52">
        <v>5.9293404165256754E-2</v>
      </c>
      <c r="F58" s="51">
        <v>226363.31000000605</v>
      </c>
      <c r="G58" s="52">
        <v>5.9293404165256754E-2</v>
      </c>
      <c r="H58" s="53">
        <v>13624</v>
      </c>
      <c r="I58" s="52">
        <v>-5.3691741335000348E-2</v>
      </c>
      <c r="J58" s="53">
        <v>13624</v>
      </c>
      <c r="K58" s="52">
        <v>-5.3691741335000348E-2</v>
      </c>
      <c r="L58" s="53">
        <v>8229</v>
      </c>
      <c r="M58" s="52">
        <v>-3.6304016863801379E-2</v>
      </c>
      <c r="N58" s="53">
        <v>8229</v>
      </c>
      <c r="O58" s="52">
        <v>-3.6304016863801379E-2</v>
      </c>
      <c r="P58" s="51">
        <f t="shared" si="0"/>
        <v>1.6556082148499209</v>
      </c>
      <c r="Q58" s="50">
        <f t="shared" si="1"/>
        <v>27.507997326528869</v>
      </c>
      <c r="R58" s="39" t="s">
        <v>54</v>
      </c>
    </row>
    <row r="59" spans="1:18" x14ac:dyDescent="0.35">
      <c r="A59" s="54">
        <v>1210003</v>
      </c>
      <c r="B59" s="54">
        <v>100237</v>
      </c>
      <c r="C59" s="54" t="s">
        <v>815</v>
      </c>
      <c r="D59" s="51">
        <v>225491.94000000507</v>
      </c>
      <c r="E59" s="52">
        <v>6.8250981345586645E-2</v>
      </c>
      <c r="F59" s="51">
        <v>225491.94000000507</v>
      </c>
      <c r="G59" s="52">
        <v>6.8250981345586645E-2</v>
      </c>
      <c r="H59" s="53">
        <v>13766</v>
      </c>
      <c r="I59" s="52">
        <v>-3.1586352444600771E-2</v>
      </c>
      <c r="J59" s="53">
        <v>13766</v>
      </c>
      <c r="K59" s="52">
        <v>-3.1586352444600771E-2</v>
      </c>
      <c r="L59" s="53">
        <v>9077</v>
      </c>
      <c r="M59" s="52">
        <v>2.7856414902049598E-2</v>
      </c>
      <c r="N59" s="53">
        <v>9077</v>
      </c>
      <c r="O59" s="52">
        <v>2.7856414902049598E-2</v>
      </c>
      <c r="P59" s="51">
        <f t="shared" si="0"/>
        <v>1.5165803679629835</v>
      </c>
      <c r="Q59" s="50">
        <f t="shared" si="1"/>
        <v>24.842121846425588</v>
      </c>
      <c r="R59" s="39" t="s">
        <v>54</v>
      </c>
    </row>
    <row r="60" spans="1:18" x14ac:dyDescent="0.35">
      <c r="A60" s="54">
        <v>1030001</v>
      </c>
      <c r="B60" s="54">
        <v>107872</v>
      </c>
      <c r="C60" s="54" t="s">
        <v>814</v>
      </c>
      <c r="D60" s="51">
        <v>224133.03000000151</v>
      </c>
      <c r="E60" s="52"/>
      <c r="F60" s="51">
        <v>224133.03000000151</v>
      </c>
      <c r="G60" s="52"/>
      <c r="H60" s="53">
        <v>11324</v>
      </c>
      <c r="I60" s="52" t="s">
        <v>52</v>
      </c>
      <c r="J60" s="53">
        <v>11324</v>
      </c>
      <c r="K60" s="52"/>
      <c r="L60" s="53">
        <v>7194</v>
      </c>
      <c r="M60" s="52" t="s">
        <v>52</v>
      </c>
      <c r="N60" s="53">
        <v>7194</v>
      </c>
      <c r="O60" s="52"/>
      <c r="P60" s="51">
        <f t="shared" si="0"/>
        <v>1.5740895190436475</v>
      </c>
      <c r="Q60" s="50">
        <f t="shared" si="1"/>
        <v>31.155550458715808</v>
      </c>
      <c r="R60" s="39" t="s">
        <v>54</v>
      </c>
    </row>
    <row r="61" spans="1:18" x14ac:dyDescent="0.35">
      <c r="A61" s="54">
        <v>1240203</v>
      </c>
      <c r="B61" s="54">
        <v>102053</v>
      </c>
      <c r="C61" s="54" t="s">
        <v>813</v>
      </c>
      <c r="D61" s="51">
        <v>222219.49000000587</v>
      </c>
      <c r="E61" s="52">
        <v>0.12441155095427123</v>
      </c>
      <c r="F61" s="51">
        <v>222219.49000000587</v>
      </c>
      <c r="G61" s="52">
        <v>0.12441155095427123</v>
      </c>
      <c r="H61" s="53">
        <v>13924.028</v>
      </c>
      <c r="I61" s="52">
        <v>-5.8526345851777637E-3</v>
      </c>
      <c r="J61" s="53">
        <v>13924.028</v>
      </c>
      <c r="K61" s="52">
        <v>-5.8526345851777637E-3</v>
      </c>
      <c r="L61" s="53">
        <v>9895</v>
      </c>
      <c r="M61" s="52">
        <v>3.4500784108729747E-2</v>
      </c>
      <c r="N61" s="53">
        <v>9895</v>
      </c>
      <c r="O61" s="52">
        <v>3.4500784108729747E-2</v>
      </c>
      <c r="P61" s="51">
        <f t="shared" si="0"/>
        <v>1.40717817079333</v>
      </c>
      <c r="Q61" s="50">
        <f t="shared" si="1"/>
        <v>22.457755432036976</v>
      </c>
      <c r="R61" s="39" t="s">
        <v>51</v>
      </c>
    </row>
    <row r="62" spans="1:18" x14ac:dyDescent="0.35">
      <c r="A62" s="54">
        <v>1170003</v>
      </c>
      <c r="B62" s="54">
        <v>100462</v>
      </c>
      <c r="C62" s="54" t="s">
        <v>812</v>
      </c>
      <c r="D62" s="51">
        <v>221450.36000000156</v>
      </c>
      <c r="E62" s="52">
        <v>0.30969022520248063</v>
      </c>
      <c r="F62" s="51">
        <v>221450.36000000156</v>
      </c>
      <c r="G62" s="52">
        <v>0.30969022520248063</v>
      </c>
      <c r="H62" s="53">
        <v>11990</v>
      </c>
      <c r="I62" s="52">
        <v>0.20369440819194859</v>
      </c>
      <c r="J62" s="53">
        <v>11990</v>
      </c>
      <c r="K62" s="52">
        <v>0.20369440819194859</v>
      </c>
      <c r="L62" s="53">
        <v>5997</v>
      </c>
      <c r="M62" s="52">
        <v>-4.4911610129001432E-2</v>
      </c>
      <c r="N62" s="53">
        <v>5997</v>
      </c>
      <c r="O62" s="52">
        <v>-4.4911610129001432E-2</v>
      </c>
      <c r="P62" s="51">
        <f t="shared" si="0"/>
        <v>1.9993329998332499</v>
      </c>
      <c r="Q62" s="50">
        <f t="shared" si="1"/>
        <v>36.926856761714447</v>
      </c>
      <c r="R62" s="39" t="s">
        <v>54</v>
      </c>
    </row>
    <row r="63" spans="1:18" x14ac:dyDescent="0.35">
      <c r="A63" s="54">
        <v>1220003</v>
      </c>
      <c r="B63" s="54">
        <v>101024</v>
      </c>
      <c r="C63" s="54" t="s">
        <v>811</v>
      </c>
      <c r="D63" s="51">
        <v>220560.88000000559</v>
      </c>
      <c r="E63" s="52">
        <v>0.1614514251314462</v>
      </c>
      <c r="F63" s="51">
        <v>220560.88000000559</v>
      </c>
      <c r="G63" s="52">
        <v>0.1614514251314462</v>
      </c>
      <c r="H63" s="53">
        <v>12553</v>
      </c>
      <c r="I63" s="52">
        <v>4.7742258576078792E-2</v>
      </c>
      <c r="J63" s="53">
        <v>12553</v>
      </c>
      <c r="K63" s="52">
        <v>4.7742258576078792E-2</v>
      </c>
      <c r="L63" s="53">
        <v>8085</v>
      </c>
      <c r="M63" s="52">
        <v>6.9303002248379847E-2</v>
      </c>
      <c r="N63" s="53">
        <v>8085</v>
      </c>
      <c r="O63" s="52">
        <v>6.9303002248379847E-2</v>
      </c>
      <c r="P63" s="51">
        <f t="shared" si="0"/>
        <v>1.5526283240568954</v>
      </c>
      <c r="Q63" s="50">
        <f t="shared" si="1"/>
        <v>27.280257266543671</v>
      </c>
      <c r="R63" s="39" t="s">
        <v>54</v>
      </c>
    </row>
    <row r="64" spans="1:18" x14ac:dyDescent="0.35">
      <c r="A64" s="54">
        <v>1140004</v>
      </c>
      <c r="B64" s="54">
        <v>102914</v>
      </c>
      <c r="C64" s="54" t="s">
        <v>810</v>
      </c>
      <c r="D64" s="51">
        <v>220162.83000000857</v>
      </c>
      <c r="E64" s="52">
        <v>-2.2968813286691314E-2</v>
      </c>
      <c r="F64" s="51">
        <v>220162.83000000857</v>
      </c>
      <c r="G64" s="52">
        <v>-2.2968813286691314E-2</v>
      </c>
      <c r="H64" s="53">
        <v>13008</v>
      </c>
      <c r="I64" s="52">
        <v>-0.10302027306578403</v>
      </c>
      <c r="J64" s="53">
        <v>13008</v>
      </c>
      <c r="K64" s="52">
        <v>-0.10302027306578403</v>
      </c>
      <c r="L64" s="53">
        <v>7412</v>
      </c>
      <c r="M64" s="52">
        <v>-0.12728129047450842</v>
      </c>
      <c r="N64" s="53">
        <v>7412</v>
      </c>
      <c r="O64" s="52">
        <v>-0.12728129047450842</v>
      </c>
      <c r="P64" s="51">
        <f t="shared" si="0"/>
        <v>1.7549919050188882</v>
      </c>
      <c r="Q64" s="50">
        <f t="shared" si="1"/>
        <v>29.703565839180865</v>
      </c>
      <c r="R64" s="39" t="s">
        <v>54</v>
      </c>
    </row>
    <row r="65" spans="1:18" x14ac:dyDescent="0.35">
      <c r="A65" s="54">
        <v>1180001</v>
      </c>
      <c r="B65" s="54">
        <v>107333</v>
      </c>
      <c r="C65" s="54" t="s">
        <v>809</v>
      </c>
      <c r="D65" s="51">
        <v>219539.66000000143</v>
      </c>
      <c r="E65" s="52">
        <v>0.94067281358392352</v>
      </c>
      <c r="F65" s="51">
        <v>219539.66000000143</v>
      </c>
      <c r="G65" s="52">
        <v>0.94067281358392352</v>
      </c>
      <c r="H65" s="53">
        <v>11736</v>
      </c>
      <c r="I65" s="52">
        <v>0.81139064670473837</v>
      </c>
      <c r="J65" s="53">
        <v>11736</v>
      </c>
      <c r="K65" s="52">
        <v>0.81139064670473837</v>
      </c>
      <c r="L65" s="53">
        <v>7778</v>
      </c>
      <c r="M65" s="52">
        <v>0.83227326266195523</v>
      </c>
      <c r="N65" s="53">
        <v>7778</v>
      </c>
      <c r="O65" s="52">
        <v>0.83227326266195523</v>
      </c>
      <c r="P65" s="51">
        <f t="shared" si="0"/>
        <v>1.5088711751092827</v>
      </c>
      <c r="Q65" s="50">
        <f t="shared" si="1"/>
        <v>28.225721265106895</v>
      </c>
      <c r="R65" s="39" t="s">
        <v>54</v>
      </c>
    </row>
    <row r="66" spans="1:18" x14ac:dyDescent="0.35">
      <c r="A66" s="54">
        <v>1240175</v>
      </c>
      <c r="B66" s="54">
        <v>100422</v>
      </c>
      <c r="C66" s="54" t="s">
        <v>808</v>
      </c>
      <c r="D66" s="51">
        <v>219103.0600000108</v>
      </c>
      <c r="E66" s="52">
        <v>8.112263864849685E-2</v>
      </c>
      <c r="F66" s="51">
        <v>219103.0600000108</v>
      </c>
      <c r="G66" s="52">
        <v>8.112263864849685E-2</v>
      </c>
      <c r="H66" s="53">
        <v>15202</v>
      </c>
      <c r="I66" s="52">
        <v>7.2411296162201298E-4</v>
      </c>
      <c r="J66" s="53">
        <v>15202</v>
      </c>
      <c r="K66" s="52">
        <v>7.2411296162201298E-4</v>
      </c>
      <c r="L66" s="53">
        <v>9195</v>
      </c>
      <c r="M66" s="52">
        <v>3.6874154262516917E-2</v>
      </c>
      <c r="N66" s="53">
        <v>9195</v>
      </c>
      <c r="O66" s="52">
        <v>3.6874154262516917E-2</v>
      </c>
      <c r="P66" s="51">
        <f t="shared" si="0"/>
        <v>1.653289831430125</v>
      </c>
      <c r="Q66" s="50">
        <f t="shared" si="1"/>
        <v>23.828500271888068</v>
      </c>
      <c r="R66" s="39" t="s">
        <v>54</v>
      </c>
    </row>
    <row r="67" spans="1:18" x14ac:dyDescent="0.35">
      <c r="A67" s="54">
        <v>1230012</v>
      </c>
      <c r="B67" s="54">
        <v>100926</v>
      </c>
      <c r="C67" s="54" t="s">
        <v>807</v>
      </c>
      <c r="D67" s="51">
        <v>218329.75000001048</v>
      </c>
      <c r="E67" s="52">
        <v>5.6676201914317152E-2</v>
      </c>
      <c r="F67" s="51">
        <v>218329.75000001048</v>
      </c>
      <c r="G67" s="52">
        <v>5.6676201914317152E-2</v>
      </c>
      <c r="H67" s="53">
        <v>15250</v>
      </c>
      <c r="I67" s="52">
        <v>-3.566460098646769E-2</v>
      </c>
      <c r="J67" s="53">
        <v>15250</v>
      </c>
      <c r="K67" s="52">
        <v>-3.566460098646769E-2</v>
      </c>
      <c r="L67" s="53">
        <v>10356</v>
      </c>
      <c r="M67" s="52">
        <v>-5.9827507943713117E-2</v>
      </c>
      <c r="N67" s="53">
        <v>10356</v>
      </c>
      <c r="O67" s="52">
        <v>-5.9827507943713117E-2</v>
      </c>
      <c r="P67" s="51">
        <f t="shared" si="0"/>
        <v>1.4725762842796446</v>
      </c>
      <c r="Q67" s="50">
        <f t="shared" si="1"/>
        <v>21.082440131325846</v>
      </c>
      <c r="R67" s="39" t="s">
        <v>51</v>
      </c>
    </row>
    <row r="68" spans="1:18" x14ac:dyDescent="0.35">
      <c r="A68" s="54">
        <v>1240007</v>
      </c>
      <c r="B68" s="54">
        <v>102325</v>
      </c>
      <c r="C68" s="54" t="s">
        <v>806</v>
      </c>
      <c r="D68" s="51">
        <v>216192.0800000036</v>
      </c>
      <c r="E68" s="52">
        <v>-5.4213447521349628E-2</v>
      </c>
      <c r="F68" s="51">
        <v>216192.0800000036</v>
      </c>
      <c r="G68" s="52">
        <v>-5.4213447521349753E-2</v>
      </c>
      <c r="H68" s="53">
        <v>12914</v>
      </c>
      <c r="I68" s="52">
        <v>-0.17403261912376081</v>
      </c>
      <c r="J68" s="53">
        <v>12914</v>
      </c>
      <c r="K68" s="52">
        <v>-0.17403261912376081</v>
      </c>
      <c r="L68" s="53">
        <v>8301</v>
      </c>
      <c r="M68" s="52">
        <v>-0.1815223821731414</v>
      </c>
      <c r="N68" s="53">
        <v>8301</v>
      </c>
      <c r="O68" s="52">
        <v>-0.1815223821731414</v>
      </c>
      <c r="P68" s="51">
        <f t="shared" si="0"/>
        <v>1.5557161787736418</v>
      </c>
      <c r="Q68" s="50">
        <f t="shared" si="1"/>
        <v>26.044100710758173</v>
      </c>
      <c r="R68" s="39" t="s">
        <v>54</v>
      </c>
    </row>
    <row r="69" spans="1:18" x14ac:dyDescent="0.35">
      <c r="A69" s="54">
        <v>1240070</v>
      </c>
      <c r="B69" s="54">
        <v>104595</v>
      </c>
      <c r="C69" s="54" t="s">
        <v>805</v>
      </c>
      <c r="D69" s="51">
        <v>213717.78000000759</v>
      </c>
      <c r="E69" s="52">
        <v>4.6984890281504044E-2</v>
      </c>
      <c r="F69" s="51">
        <v>213717.78000000759</v>
      </c>
      <c r="G69" s="52">
        <v>4.6984890281504044E-2</v>
      </c>
      <c r="H69" s="53">
        <v>14566.999800000001</v>
      </c>
      <c r="I69" s="52">
        <v>-4.9585711489528193E-2</v>
      </c>
      <c r="J69" s="53">
        <v>14566.999800000001</v>
      </c>
      <c r="K69" s="52">
        <v>-4.9585711489528193E-2</v>
      </c>
      <c r="L69" s="53">
        <v>9041</v>
      </c>
      <c r="M69" s="52">
        <v>-5.6460029221456896E-2</v>
      </c>
      <c r="N69" s="53">
        <v>9041</v>
      </c>
      <c r="O69" s="52">
        <v>-5.6460029221456896E-2</v>
      </c>
      <c r="P69" s="51">
        <f t="shared" ref="P69:P132" si="2">H69/L69</f>
        <v>1.6112155513770603</v>
      </c>
      <c r="Q69" s="50">
        <f t="shared" ref="Q69:Q132" si="3">D69/L69</f>
        <v>23.638732441102487</v>
      </c>
      <c r="R69" s="39" t="s">
        <v>54</v>
      </c>
    </row>
    <row r="70" spans="1:18" x14ac:dyDescent="0.35">
      <c r="A70" s="54">
        <v>1200004</v>
      </c>
      <c r="B70" s="54">
        <v>100159</v>
      </c>
      <c r="C70" s="54" t="s">
        <v>804</v>
      </c>
      <c r="D70" s="51">
        <v>213164.91000000271</v>
      </c>
      <c r="E70" s="52">
        <v>0.10695340371501263</v>
      </c>
      <c r="F70" s="51">
        <v>213164.91000000271</v>
      </c>
      <c r="G70" s="52">
        <v>0.10695340371501263</v>
      </c>
      <c r="H70" s="53">
        <v>13373</v>
      </c>
      <c r="I70" s="52">
        <v>-2.9902070718397251E-4</v>
      </c>
      <c r="J70" s="53">
        <v>13373</v>
      </c>
      <c r="K70" s="52">
        <v>-2.9902070718397251E-4</v>
      </c>
      <c r="L70" s="53">
        <v>9118</v>
      </c>
      <c r="M70" s="52">
        <v>-3.0618753986816925E-2</v>
      </c>
      <c r="N70" s="53">
        <v>9118</v>
      </c>
      <c r="O70" s="52">
        <v>-3.0618753986816925E-2</v>
      </c>
      <c r="P70" s="51">
        <f t="shared" si="2"/>
        <v>1.4666593551217373</v>
      </c>
      <c r="Q70" s="50">
        <f t="shared" si="3"/>
        <v>23.378472252687288</v>
      </c>
      <c r="R70" s="39" t="s">
        <v>51</v>
      </c>
    </row>
    <row r="71" spans="1:18" x14ac:dyDescent="0.35">
      <c r="A71" s="54">
        <v>1230027</v>
      </c>
      <c r="B71" s="54">
        <v>100469</v>
      </c>
      <c r="C71" s="54" t="s">
        <v>803</v>
      </c>
      <c r="D71" s="51">
        <v>212597.90000000718</v>
      </c>
      <c r="E71" s="52">
        <v>-9.0561621817575905E-2</v>
      </c>
      <c r="F71" s="51">
        <v>212597.90000000718</v>
      </c>
      <c r="G71" s="52">
        <v>-9.0561621817575905E-2</v>
      </c>
      <c r="H71" s="53">
        <v>13484</v>
      </c>
      <c r="I71" s="52">
        <v>-0.20831376232973225</v>
      </c>
      <c r="J71" s="53">
        <v>13484</v>
      </c>
      <c r="K71" s="52">
        <v>-0.20831376232973225</v>
      </c>
      <c r="L71" s="53">
        <v>9085</v>
      </c>
      <c r="M71" s="52">
        <v>-0.21579628830384118</v>
      </c>
      <c r="N71" s="53">
        <v>9085</v>
      </c>
      <c r="O71" s="52">
        <v>-0.21579628830384118</v>
      </c>
      <c r="P71" s="51">
        <f t="shared" si="2"/>
        <v>1.4842047330764998</v>
      </c>
      <c r="Q71" s="50">
        <f t="shared" si="3"/>
        <v>23.400979636764689</v>
      </c>
      <c r="R71" s="39" t="s">
        <v>51</v>
      </c>
    </row>
    <row r="72" spans="1:18" x14ac:dyDescent="0.35">
      <c r="A72" s="54">
        <v>1240036</v>
      </c>
      <c r="B72" s="54">
        <v>100911</v>
      </c>
      <c r="C72" s="54" t="s">
        <v>802</v>
      </c>
      <c r="D72" s="51">
        <v>210959.5000000046</v>
      </c>
      <c r="E72" s="52">
        <v>0.24837266166275038</v>
      </c>
      <c r="F72" s="51">
        <v>210959.5000000046</v>
      </c>
      <c r="G72" s="52">
        <v>0.24837266166275038</v>
      </c>
      <c r="H72" s="53">
        <v>14782</v>
      </c>
      <c r="I72" s="52">
        <v>0.12779430838483252</v>
      </c>
      <c r="J72" s="53">
        <v>14782</v>
      </c>
      <c r="K72" s="52">
        <v>0.12779430838483252</v>
      </c>
      <c r="L72" s="53">
        <v>10098</v>
      </c>
      <c r="M72" s="52">
        <v>0.12650602409638553</v>
      </c>
      <c r="N72" s="53">
        <v>10098</v>
      </c>
      <c r="O72" s="52">
        <v>0.12650602409638553</v>
      </c>
      <c r="P72" s="51">
        <f t="shared" si="2"/>
        <v>1.4638542285601108</v>
      </c>
      <c r="Q72" s="50">
        <f t="shared" si="3"/>
        <v>20.891216082393008</v>
      </c>
      <c r="R72" s="39" t="s">
        <v>51</v>
      </c>
    </row>
    <row r="73" spans="1:18" x14ac:dyDescent="0.35">
      <c r="A73" s="54">
        <v>1230008</v>
      </c>
      <c r="B73" s="54">
        <v>100924</v>
      </c>
      <c r="C73" s="54" t="s">
        <v>801</v>
      </c>
      <c r="D73" s="51">
        <v>210043.01000000135</v>
      </c>
      <c r="E73" s="52">
        <v>1.330251659074118E-2</v>
      </c>
      <c r="F73" s="51">
        <v>210043.01000000135</v>
      </c>
      <c r="G73" s="52">
        <v>1.330251659074118E-2</v>
      </c>
      <c r="H73" s="53">
        <v>14276</v>
      </c>
      <c r="I73" s="52">
        <v>-6.990683432145417E-2</v>
      </c>
      <c r="J73" s="53">
        <v>14276</v>
      </c>
      <c r="K73" s="52">
        <v>-6.990683432145417E-2</v>
      </c>
      <c r="L73" s="53">
        <v>10759</v>
      </c>
      <c r="M73" s="52">
        <v>-9.6944770857814333E-2</v>
      </c>
      <c r="N73" s="53">
        <v>10759</v>
      </c>
      <c r="O73" s="52">
        <v>-9.6944770857814333E-2</v>
      </c>
      <c r="P73" s="51">
        <f t="shared" si="2"/>
        <v>1.3268891160888558</v>
      </c>
      <c r="Q73" s="50">
        <f t="shared" si="3"/>
        <v>19.522540198903368</v>
      </c>
      <c r="R73" s="39" t="s">
        <v>51</v>
      </c>
    </row>
    <row r="74" spans="1:18" x14ac:dyDescent="0.35">
      <c r="A74" s="54">
        <v>1230028</v>
      </c>
      <c r="B74" s="54">
        <v>104704</v>
      </c>
      <c r="C74" s="54" t="s">
        <v>800</v>
      </c>
      <c r="D74" s="51">
        <v>209161.27000000054</v>
      </c>
      <c r="E74" s="52">
        <v>0.10412053105360014</v>
      </c>
      <c r="F74" s="51">
        <v>209161.27000000054</v>
      </c>
      <c r="G74" s="52">
        <v>0.10412053105360014</v>
      </c>
      <c r="H74" s="53">
        <v>13499</v>
      </c>
      <c r="I74" s="52">
        <v>6.3332020480504139E-2</v>
      </c>
      <c r="J74" s="53">
        <v>13499</v>
      </c>
      <c r="K74" s="52">
        <v>6.3332020480504139E-2</v>
      </c>
      <c r="L74" s="53">
        <v>9742</v>
      </c>
      <c r="M74" s="52">
        <v>3.6934539648749334E-2</v>
      </c>
      <c r="N74" s="53">
        <v>9742</v>
      </c>
      <c r="O74" s="52">
        <v>3.6934539648749334E-2</v>
      </c>
      <c r="P74" s="51">
        <f t="shared" si="2"/>
        <v>1.3856497639088483</v>
      </c>
      <c r="Q74" s="50">
        <f t="shared" si="3"/>
        <v>21.470054403613275</v>
      </c>
      <c r="R74" s="39" t="s">
        <v>51</v>
      </c>
    </row>
    <row r="75" spans="1:18" x14ac:dyDescent="0.35">
      <c r="A75" s="54">
        <v>1240428</v>
      </c>
      <c r="B75" s="54">
        <v>107745</v>
      </c>
      <c r="C75" s="54" t="s">
        <v>799</v>
      </c>
      <c r="D75" s="51">
        <v>208324.14000000479</v>
      </c>
      <c r="E75" s="52"/>
      <c r="F75" s="51"/>
      <c r="G75" s="52"/>
      <c r="H75" s="53">
        <v>12537</v>
      </c>
      <c r="I75" s="52" t="s">
        <v>52</v>
      </c>
      <c r="J75" s="53"/>
      <c r="K75" s="52"/>
      <c r="L75" s="53">
        <v>8427</v>
      </c>
      <c r="M75" s="52" t="s">
        <v>52</v>
      </c>
      <c r="N75" s="53"/>
      <c r="O75" s="52"/>
      <c r="P75" s="51">
        <f t="shared" si="2"/>
        <v>1.4877180491278035</v>
      </c>
      <c r="Q75" s="50">
        <f t="shared" si="3"/>
        <v>24.721032395870985</v>
      </c>
      <c r="R75" s="39" t="s">
        <v>51</v>
      </c>
    </row>
    <row r="76" spans="1:18" x14ac:dyDescent="0.35">
      <c r="A76" s="54">
        <v>1240198</v>
      </c>
      <c r="B76" s="54">
        <v>101693</v>
      </c>
      <c r="C76" s="54" t="s">
        <v>798</v>
      </c>
      <c r="D76" s="51">
        <v>206825.74000001163</v>
      </c>
      <c r="E76" s="52">
        <v>-7.773877383683292E-2</v>
      </c>
      <c r="F76" s="51">
        <v>206825.74000001163</v>
      </c>
      <c r="G76" s="52">
        <v>-7.773877383683292E-2</v>
      </c>
      <c r="H76" s="53">
        <v>13847</v>
      </c>
      <c r="I76" s="52">
        <v>-0.17870699881376037</v>
      </c>
      <c r="J76" s="53">
        <v>13847</v>
      </c>
      <c r="K76" s="52">
        <v>-0.17870699881376037</v>
      </c>
      <c r="L76" s="53">
        <v>8260</v>
      </c>
      <c r="M76" s="52">
        <v>-0.13958333333333334</v>
      </c>
      <c r="N76" s="53">
        <v>8260</v>
      </c>
      <c r="O76" s="52">
        <v>-0.13958333333333334</v>
      </c>
      <c r="P76" s="51">
        <f t="shared" si="2"/>
        <v>1.6763922518159806</v>
      </c>
      <c r="Q76" s="50">
        <f t="shared" si="3"/>
        <v>25.039435835352499</v>
      </c>
      <c r="R76" s="39" t="s">
        <v>54</v>
      </c>
    </row>
    <row r="77" spans="1:18" x14ac:dyDescent="0.35">
      <c r="A77" s="54">
        <v>1240422</v>
      </c>
      <c r="B77" s="54">
        <v>107698</v>
      </c>
      <c r="C77" s="54" t="s">
        <v>797</v>
      </c>
      <c r="D77" s="51">
        <v>206772.35000000076</v>
      </c>
      <c r="E77" s="52"/>
      <c r="F77" s="51">
        <v>49928.640000000101</v>
      </c>
      <c r="G77" s="52"/>
      <c r="H77" s="53">
        <v>11260</v>
      </c>
      <c r="I77" s="52" t="s">
        <v>52</v>
      </c>
      <c r="J77" s="53">
        <v>2674</v>
      </c>
      <c r="K77" s="52"/>
      <c r="L77" s="53">
        <v>8092</v>
      </c>
      <c r="M77" s="52" t="s">
        <v>52</v>
      </c>
      <c r="N77" s="53">
        <v>1913</v>
      </c>
      <c r="O77" s="52"/>
      <c r="P77" s="51">
        <f t="shared" si="2"/>
        <v>1.3914977755808207</v>
      </c>
      <c r="Q77" s="50">
        <f t="shared" si="3"/>
        <v>25.552687839841912</v>
      </c>
      <c r="R77" s="39" t="s">
        <v>51</v>
      </c>
    </row>
    <row r="78" spans="1:18" x14ac:dyDescent="0.35">
      <c r="A78" s="54">
        <v>1100017</v>
      </c>
      <c r="B78" s="54">
        <v>106703</v>
      </c>
      <c r="C78" s="54" t="s">
        <v>796</v>
      </c>
      <c r="D78" s="51">
        <v>204600.8099999986</v>
      </c>
      <c r="E78" s="52">
        <v>0.43174607950845778</v>
      </c>
      <c r="F78" s="51">
        <v>204600.8099999986</v>
      </c>
      <c r="G78" s="52">
        <v>0.43174607950845778</v>
      </c>
      <c r="H78" s="53">
        <v>10152</v>
      </c>
      <c r="I78" s="52">
        <v>0.28816140083745717</v>
      </c>
      <c r="J78" s="53">
        <v>10152</v>
      </c>
      <c r="K78" s="52">
        <v>0.28816140083745717</v>
      </c>
      <c r="L78" s="53">
        <v>7917</v>
      </c>
      <c r="M78" s="52">
        <v>0.30729854689564068</v>
      </c>
      <c r="N78" s="53">
        <v>7917</v>
      </c>
      <c r="O78" s="52">
        <v>0.30729854689564068</v>
      </c>
      <c r="P78" s="51">
        <f t="shared" si="2"/>
        <v>1.2823039029935581</v>
      </c>
      <c r="Q78" s="50">
        <f t="shared" si="3"/>
        <v>25.843224706327977</v>
      </c>
      <c r="R78" s="39" t="s">
        <v>51</v>
      </c>
    </row>
    <row r="79" spans="1:18" x14ac:dyDescent="0.35">
      <c r="A79" s="54">
        <v>1230049</v>
      </c>
      <c r="B79" s="54">
        <v>100600</v>
      </c>
      <c r="C79" s="54" t="s">
        <v>795</v>
      </c>
      <c r="D79" s="51">
        <v>204477.42000000598</v>
      </c>
      <c r="E79" s="52">
        <v>5.0016445227390398E-2</v>
      </c>
      <c r="F79" s="51">
        <v>204477.42000000598</v>
      </c>
      <c r="G79" s="52">
        <v>5.0016445227390398E-2</v>
      </c>
      <c r="H79" s="53">
        <v>13645</v>
      </c>
      <c r="I79" s="52">
        <v>-4.627105612637171E-2</v>
      </c>
      <c r="J79" s="53">
        <v>13645</v>
      </c>
      <c r="K79" s="52">
        <v>-4.627105612637171E-2</v>
      </c>
      <c r="L79" s="53">
        <v>8740</v>
      </c>
      <c r="M79" s="52">
        <v>-5.2985155488135226E-2</v>
      </c>
      <c r="N79" s="53">
        <v>8740</v>
      </c>
      <c r="O79" s="52">
        <v>-5.2985155488135226E-2</v>
      </c>
      <c r="P79" s="51">
        <f t="shared" si="2"/>
        <v>1.561212814645309</v>
      </c>
      <c r="Q79" s="50">
        <f t="shared" si="3"/>
        <v>23.395585812357663</v>
      </c>
      <c r="R79" s="39" t="s">
        <v>54</v>
      </c>
    </row>
    <row r="80" spans="1:18" x14ac:dyDescent="0.35">
      <c r="A80" s="54">
        <v>1100020</v>
      </c>
      <c r="B80" s="54">
        <v>107729</v>
      </c>
      <c r="C80" s="54" t="s">
        <v>794</v>
      </c>
      <c r="D80" s="51">
        <v>203990.08000000124</v>
      </c>
      <c r="E80" s="52"/>
      <c r="F80" s="51"/>
      <c r="G80" s="52"/>
      <c r="H80" s="53">
        <v>13204</v>
      </c>
      <c r="I80" s="52" t="s">
        <v>52</v>
      </c>
      <c r="J80" s="53"/>
      <c r="K80" s="52"/>
      <c r="L80" s="53">
        <v>9635</v>
      </c>
      <c r="M80" s="52" t="s">
        <v>52</v>
      </c>
      <c r="N80" s="53"/>
      <c r="O80" s="52"/>
      <c r="P80" s="51">
        <f t="shared" si="2"/>
        <v>1.3704203425012973</v>
      </c>
      <c r="Q80" s="50">
        <f t="shared" si="3"/>
        <v>21.171777893098209</v>
      </c>
      <c r="R80" s="39" t="s">
        <v>51</v>
      </c>
    </row>
    <row r="81" spans="1:18" x14ac:dyDescent="0.35">
      <c r="A81" s="54">
        <v>1240204</v>
      </c>
      <c r="B81" s="54">
        <v>102282</v>
      </c>
      <c r="C81" s="54" t="s">
        <v>793</v>
      </c>
      <c r="D81" s="51">
        <v>203563.5499999985</v>
      </c>
      <c r="E81" s="52">
        <v>-1.9789873887575665E-2</v>
      </c>
      <c r="F81" s="51">
        <v>203563.5499999985</v>
      </c>
      <c r="G81" s="52">
        <v>-1.9789873887575665E-2</v>
      </c>
      <c r="H81" s="53">
        <v>12860</v>
      </c>
      <c r="I81" s="52">
        <v>-0.12093620977223639</v>
      </c>
      <c r="J81" s="53">
        <v>12860</v>
      </c>
      <c r="K81" s="52">
        <v>-0.12093620977223639</v>
      </c>
      <c r="L81" s="53">
        <v>9306</v>
      </c>
      <c r="M81" s="52">
        <v>-0.10768050628056382</v>
      </c>
      <c r="N81" s="53">
        <v>9306</v>
      </c>
      <c r="O81" s="52">
        <v>-0.10768050628056382</v>
      </c>
      <c r="P81" s="51">
        <f t="shared" si="2"/>
        <v>1.3819041478615948</v>
      </c>
      <c r="Q81" s="50">
        <f t="shared" si="3"/>
        <v>21.874441220717657</v>
      </c>
      <c r="R81" s="39" t="s">
        <v>51</v>
      </c>
    </row>
    <row r="82" spans="1:18" x14ac:dyDescent="0.35">
      <c r="A82" s="54">
        <v>1240042</v>
      </c>
      <c r="B82" s="54">
        <v>104587</v>
      </c>
      <c r="C82" s="54" t="s">
        <v>792</v>
      </c>
      <c r="D82" s="51">
        <v>203325.69000000641</v>
      </c>
      <c r="E82" s="52">
        <v>1.0084425917786271</v>
      </c>
      <c r="F82" s="51">
        <v>146044.04000000341</v>
      </c>
      <c r="G82" s="52">
        <v>0.44261686858861321</v>
      </c>
      <c r="H82" s="53">
        <v>12973</v>
      </c>
      <c r="I82" s="52">
        <v>0.74555974165769645</v>
      </c>
      <c r="J82" s="53">
        <v>9318</v>
      </c>
      <c r="K82" s="52">
        <v>0.25376749192680303</v>
      </c>
      <c r="L82" s="53">
        <v>8111</v>
      </c>
      <c r="M82" s="52">
        <v>0.7465546942291128</v>
      </c>
      <c r="N82" s="53">
        <v>5798</v>
      </c>
      <c r="O82" s="52">
        <v>0.24849267872523687</v>
      </c>
      <c r="P82" s="51">
        <f t="shared" si="2"/>
        <v>1.5994328689434101</v>
      </c>
      <c r="Q82" s="50">
        <f t="shared" si="3"/>
        <v>25.067894217729801</v>
      </c>
      <c r="R82" s="39" t="s">
        <v>54</v>
      </c>
    </row>
    <row r="83" spans="1:18" x14ac:dyDescent="0.35">
      <c r="A83" s="54">
        <v>1130002</v>
      </c>
      <c r="B83" s="54">
        <v>104447</v>
      </c>
      <c r="C83" s="54" t="s">
        <v>791</v>
      </c>
      <c r="D83" s="51">
        <v>203081.00000000407</v>
      </c>
      <c r="E83" s="52">
        <v>-0.12859337607216353</v>
      </c>
      <c r="F83" s="51">
        <v>203081.00000000407</v>
      </c>
      <c r="G83" s="52">
        <v>-0.12859337607216353</v>
      </c>
      <c r="H83" s="53">
        <v>13263</v>
      </c>
      <c r="I83" s="52">
        <v>-0.21198978076168973</v>
      </c>
      <c r="J83" s="53">
        <v>13263</v>
      </c>
      <c r="K83" s="52">
        <v>-0.21198978076168973</v>
      </c>
      <c r="L83" s="53">
        <v>8707</v>
      </c>
      <c r="M83" s="52">
        <v>-0.17257436092369097</v>
      </c>
      <c r="N83" s="53">
        <v>8707</v>
      </c>
      <c r="O83" s="52">
        <v>-0.17257436092369097</v>
      </c>
      <c r="P83" s="51">
        <f t="shared" si="2"/>
        <v>1.5232571494200069</v>
      </c>
      <c r="Q83" s="50">
        <f t="shared" si="3"/>
        <v>23.323877340071675</v>
      </c>
      <c r="R83" s="39" t="s">
        <v>54</v>
      </c>
    </row>
    <row r="84" spans="1:18" x14ac:dyDescent="0.35">
      <c r="A84" s="54">
        <v>1240046</v>
      </c>
      <c r="B84" s="54">
        <v>100916</v>
      </c>
      <c r="C84" s="54" t="s">
        <v>790</v>
      </c>
      <c r="D84" s="51">
        <v>202546.01000000304</v>
      </c>
      <c r="E84" s="52">
        <v>5.1545485624480102E-2</v>
      </c>
      <c r="F84" s="51">
        <v>202546.01000000304</v>
      </c>
      <c r="G84" s="52">
        <v>5.1545485624480102E-2</v>
      </c>
      <c r="H84" s="53">
        <v>13347</v>
      </c>
      <c r="I84" s="52">
        <v>-9.4504748982360928E-2</v>
      </c>
      <c r="J84" s="53">
        <v>13347</v>
      </c>
      <c r="K84" s="52">
        <v>-9.4504748982360928E-2</v>
      </c>
      <c r="L84" s="53">
        <v>8058</v>
      </c>
      <c r="M84" s="52">
        <v>-0.10006700915791825</v>
      </c>
      <c r="N84" s="53">
        <v>8058</v>
      </c>
      <c r="O84" s="52">
        <v>-0.10006700915791825</v>
      </c>
      <c r="P84" s="51">
        <f t="shared" si="2"/>
        <v>1.6563663440059568</v>
      </c>
      <c r="Q84" s="50">
        <f t="shared" si="3"/>
        <v>25.136015140233685</v>
      </c>
      <c r="R84" s="39" t="s">
        <v>54</v>
      </c>
    </row>
    <row r="85" spans="1:18" x14ac:dyDescent="0.35">
      <c r="A85" s="54">
        <v>1240145</v>
      </c>
      <c r="B85" s="54">
        <v>106084</v>
      </c>
      <c r="C85" s="54" t="s">
        <v>789</v>
      </c>
      <c r="D85" s="51">
        <v>200065.41000000978</v>
      </c>
      <c r="E85" s="52">
        <v>0.24503136639963452</v>
      </c>
      <c r="F85" s="51">
        <v>200065.41000000978</v>
      </c>
      <c r="G85" s="52">
        <v>0.24503136639963452</v>
      </c>
      <c r="H85" s="53">
        <v>13343</v>
      </c>
      <c r="I85" s="52">
        <v>0.12494730629795127</v>
      </c>
      <c r="J85" s="53">
        <v>13343</v>
      </c>
      <c r="K85" s="52">
        <v>0.12494730629795127</v>
      </c>
      <c r="L85" s="53">
        <v>8702</v>
      </c>
      <c r="M85" s="52">
        <v>0.12414416742022995</v>
      </c>
      <c r="N85" s="53">
        <v>8702</v>
      </c>
      <c r="O85" s="52">
        <v>0.12414416742022995</v>
      </c>
      <c r="P85" s="51">
        <f t="shared" si="2"/>
        <v>1.5333256722592508</v>
      </c>
      <c r="Q85" s="50">
        <f t="shared" si="3"/>
        <v>22.990738910596388</v>
      </c>
      <c r="R85" s="39" t="s">
        <v>54</v>
      </c>
    </row>
    <row r="86" spans="1:18" x14ac:dyDescent="0.35">
      <c r="A86" s="54">
        <v>1240065</v>
      </c>
      <c r="B86" s="54">
        <v>104900</v>
      </c>
      <c r="C86" s="54" t="s">
        <v>788</v>
      </c>
      <c r="D86" s="51">
        <v>199667.95000000682</v>
      </c>
      <c r="E86" s="52">
        <v>0.11710224049361219</v>
      </c>
      <c r="F86" s="51">
        <v>199667.95000000682</v>
      </c>
      <c r="G86" s="52">
        <v>0.11710224049361219</v>
      </c>
      <c r="H86" s="53">
        <v>13673</v>
      </c>
      <c r="I86" s="52">
        <v>-7.1884984025559102E-3</v>
      </c>
      <c r="J86" s="53">
        <v>13673</v>
      </c>
      <c r="K86" s="52">
        <v>-7.1884984025559102E-3</v>
      </c>
      <c r="L86" s="53">
        <v>9121</v>
      </c>
      <c r="M86" s="52">
        <v>-1.8085908063300678E-2</v>
      </c>
      <c r="N86" s="53">
        <v>9121</v>
      </c>
      <c r="O86" s="52">
        <v>-1.8085908063300678E-2</v>
      </c>
      <c r="P86" s="51">
        <f t="shared" si="2"/>
        <v>1.4990680846398421</v>
      </c>
      <c r="Q86" s="50">
        <f t="shared" si="3"/>
        <v>21.891015239557813</v>
      </c>
      <c r="R86" s="39" t="s">
        <v>51</v>
      </c>
    </row>
    <row r="87" spans="1:18" x14ac:dyDescent="0.35">
      <c r="A87" s="54">
        <v>1060011</v>
      </c>
      <c r="B87" s="54">
        <v>105555</v>
      </c>
      <c r="C87" s="54" t="s">
        <v>787</v>
      </c>
      <c r="D87" s="51">
        <v>197397.02000000339</v>
      </c>
      <c r="E87" s="52">
        <v>0.22854874213132709</v>
      </c>
      <c r="F87" s="51">
        <v>197397.02000000339</v>
      </c>
      <c r="G87" s="52">
        <v>0.22854874213132709</v>
      </c>
      <c r="H87" s="53">
        <v>11438</v>
      </c>
      <c r="I87" s="52">
        <v>0.12434876634227858</v>
      </c>
      <c r="J87" s="53">
        <v>11438</v>
      </c>
      <c r="K87" s="52">
        <v>0.12434876634227858</v>
      </c>
      <c r="L87" s="53">
        <v>7008</v>
      </c>
      <c r="M87" s="52">
        <v>0.12199807877041306</v>
      </c>
      <c r="N87" s="53">
        <v>7008</v>
      </c>
      <c r="O87" s="52">
        <v>0.12199807877041306</v>
      </c>
      <c r="P87" s="51">
        <f t="shared" si="2"/>
        <v>1.6321347031963471</v>
      </c>
      <c r="Q87" s="50">
        <f t="shared" si="3"/>
        <v>28.167382990868063</v>
      </c>
      <c r="R87" s="39" t="s">
        <v>54</v>
      </c>
    </row>
    <row r="88" spans="1:18" x14ac:dyDescent="0.35">
      <c r="A88" s="54">
        <v>1210054</v>
      </c>
      <c r="B88" s="54">
        <v>107014</v>
      </c>
      <c r="C88" s="54" t="s">
        <v>786</v>
      </c>
      <c r="D88" s="51">
        <v>196164.05999999866</v>
      </c>
      <c r="E88" s="52"/>
      <c r="F88" s="51">
        <v>196164.05999999866</v>
      </c>
      <c r="G88" s="52"/>
      <c r="H88" s="53">
        <v>9810</v>
      </c>
      <c r="I88" s="52" t="s">
        <v>52</v>
      </c>
      <c r="J88" s="53">
        <v>9810</v>
      </c>
      <c r="K88" s="52"/>
      <c r="L88" s="53">
        <v>7941</v>
      </c>
      <c r="M88" s="52" t="s">
        <v>52</v>
      </c>
      <c r="N88" s="53">
        <v>7941</v>
      </c>
      <c r="O88" s="52"/>
      <c r="P88" s="51">
        <f t="shared" si="2"/>
        <v>1.23536078579524</v>
      </c>
      <c r="Q88" s="50">
        <f t="shared" si="3"/>
        <v>24.702689837551777</v>
      </c>
      <c r="R88" s="39" t="s">
        <v>51</v>
      </c>
    </row>
    <row r="89" spans="1:18" x14ac:dyDescent="0.35">
      <c r="A89" s="54">
        <v>1200009</v>
      </c>
      <c r="B89" s="54">
        <v>102255</v>
      </c>
      <c r="C89" s="54" t="s">
        <v>785</v>
      </c>
      <c r="D89" s="51">
        <v>195564.72999999666</v>
      </c>
      <c r="E89" s="52">
        <v>0.31393692838722304</v>
      </c>
      <c r="F89" s="51">
        <v>195564.72999999666</v>
      </c>
      <c r="G89" s="52">
        <v>0.31393692838722304</v>
      </c>
      <c r="H89" s="53">
        <v>10313</v>
      </c>
      <c r="I89" s="52">
        <v>6.5062480636166473E-2</v>
      </c>
      <c r="J89" s="53">
        <v>10313</v>
      </c>
      <c r="K89" s="52">
        <v>6.5062480636166473E-2</v>
      </c>
      <c r="L89" s="53">
        <v>6203</v>
      </c>
      <c r="M89" s="52">
        <v>0.13234757210660825</v>
      </c>
      <c r="N89" s="53">
        <v>6203</v>
      </c>
      <c r="O89" s="52">
        <v>0.13234757210660825</v>
      </c>
      <c r="P89" s="51">
        <f t="shared" si="2"/>
        <v>1.6625826213122683</v>
      </c>
      <c r="Q89" s="50">
        <f t="shared" si="3"/>
        <v>31.527443172657854</v>
      </c>
      <c r="R89" s="39" t="s">
        <v>54</v>
      </c>
    </row>
    <row r="90" spans="1:18" x14ac:dyDescent="0.35">
      <c r="A90" s="54">
        <v>1240004</v>
      </c>
      <c r="B90" s="54">
        <v>102326</v>
      </c>
      <c r="C90" s="54" t="s">
        <v>784</v>
      </c>
      <c r="D90" s="51">
        <v>194737.90999999948</v>
      </c>
      <c r="E90" s="52">
        <v>-5.0253882044795722E-2</v>
      </c>
      <c r="F90" s="51">
        <v>194737.90999999948</v>
      </c>
      <c r="G90" s="52">
        <v>-5.0253882044795722E-2</v>
      </c>
      <c r="H90" s="53">
        <v>11892</v>
      </c>
      <c r="I90" s="52">
        <v>-0.15671535952347185</v>
      </c>
      <c r="J90" s="53">
        <v>11892</v>
      </c>
      <c r="K90" s="52">
        <v>-0.15671535952347185</v>
      </c>
      <c r="L90" s="53">
        <v>8046</v>
      </c>
      <c r="M90" s="52">
        <v>-0.16222407330279051</v>
      </c>
      <c r="N90" s="53">
        <v>8046</v>
      </c>
      <c r="O90" s="52">
        <v>-0.16222407330279051</v>
      </c>
      <c r="P90" s="51">
        <f t="shared" si="2"/>
        <v>1.4780014914243103</v>
      </c>
      <c r="Q90" s="50">
        <f t="shared" si="3"/>
        <v>24.203071091225389</v>
      </c>
      <c r="R90" s="39" t="s">
        <v>51</v>
      </c>
    </row>
    <row r="91" spans="1:18" x14ac:dyDescent="0.35">
      <c r="A91" s="54">
        <v>1230045</v>
      </c>
      <c r="B91" s="54">
        <v>100484</v>
      </c>
      <c r="C91" s="54" t="s">
        <v>783</v>
      </c>
      <c r="D91" s="51">
        <v>194527.93000000637</v>
      </c>
      <c r="E91" s="52">
        <v>0.42255879169046406</v>
      </c>
      <c r="F91" s="51">
        <v>194527.93000000637</v>
      </c>
      <c r="G91" s="52">
        <v>0.42255879169046406</v>
      </c>
      <c r="H91" s="53">
        <v>13123</v>
      </c>
      <c r="I91" s="52">
        <v>0.27842182172430591</v>
      </c>
      <c r="J91" s="53">
        <v>13123</v>
      </c>
      <c r="K91" s="52">
        <v>0.27842182172430591</v>
      </c>
      <c r="L91" s="53">
        <v>9238</v>
      </c>
      <c r="M91" s="52">
        <v>0.27596685082872929</v>
      </c>
      <c r="N91" s="53">
        <v>9238</v>
      </c>
      <c r="O91" s="52">
        <v>0.27596685082872929</v>
      </c>
      <c r="P91" s="51">
        <f t="shared" si="2"/>
        <v>1.4205455726347693</v>
      </c>
      <c r="Q91" s="50">
        <f t="shared" si="3"/>
        <v>21.057364148084691</v>
      </c>
      <c r="R91" s="39" t="s">
        <v>51</v>
      </c>
    </row>
    <row r="92" spans="1:18" x14ac:dyDescent="0.35">
      <c r="A92" s="54">
        <v>1240156</v>
      </c>
      <c r="B92" s="54">
        <v>100387</v>
      </c>
      <c r="C92" s="54" t="s">
        <v>782</v>
      </c>
      <c r="D92" s="51">
        <v>193733.78000000445</v>
      </c>
      <c r="E92" s="52">
        <v>6.5409054265950756E-2</v>
      </c>
      <c r="F92" s="51">
        <v>193733.78000000445</v>
      </c>
      <c r="G92" s="52">
        <v>6.5409054265950756E-2</v>
      </c>
      <c r="H92" s="53">
        <v>12640</v>
      </c>
      <c r="I92" s="52">
        <v>-3.2307456744755783E-2</v>
      </c>
      <c r="J92" s="53">
        <v>12640</v>
      </c>
      <c r="K92" s="52">
        <v>-3.2307456744755783E-2</v>
      </c>
      <c r="L92" s="53">
        <v>8547</v>
      </c>
      <c r="M92" s="52">
        <v>-2.6426700079735733E-2</v>
      </c>
      <c r="N92" s="53">
        <v>8547</v>
      </c>
      <c r="O92" s="52">
        <v>-2.6426700079735733E-2</v>
      </c>
      <c r="P92" s="51">
        <f t="shared" si="2"/>
        <v>1.4788814788814788</v>
      </c>
      <c r="Q92" s="50">
        <f t="shared" si="3"/>
        <v>22.666874926875447</v>
      </c>
      <c r="R92" s="39" t="s">
        <v>51</v>
      </c>
    </row>
    <row r="93" spans="1:18" x14ac:dyDescent="0.35">
      <c r="A93" s="54">
        <v>1070001</v>
      </c>
      <c r="B93" s="54">
        <v>104448</v>
      </c>
      <c r="C93" s="54" t="s">
        <v>781</v>
      </c>
      <c r="D93" s="51">
        <v>192614.34000000032</v>
      </c>
      <c r="E93" s="52">
        <v>4.4783995057433836E-2</v>
      </c>
      <c r="F93" s="51">
        <v>192614.34000000032</v>
      </c>
      <c r="G93" s="52">
        <v>4.4783995057433836E-2</v>
      </c>
      <c r="H93" s="53">
        <v>10261</v>
      </c>
      <c r="I93" s="52">
        <v>-2.257572871023052E-2</v>
      </c>
      <c r="J93" s="53">
        <v>10261</v>
      </c>
      <c r="K93" s="52">
        <v>-2.257572871023052E-2</v>
      </c>
      <c r="L93" s="53">
        <v>6850</v>
      </c>
      <c r="M93" s="52">
        <v>-1.6228637081717651E-2</v>
      </c>
      <c r="N93" s="53">
        <v>6850</v>
      </c>
      <c r="O93" s="52">
        <v>-1.6228637081717651E-2</v>
      </c>
      <c r="P93" s="51">
        <f t="shared" si="2"/>
        <v>1.497956204379562</v>
      </c>
      <c r="Q93" s="50">
        <f t="shared" si="3"/>
        <v>28.118881751824865</v>
      </c>
      <c r="R93" s="39" t="s">
        <v>51</v>
      </c>
    </row>
    <row r="94" spans="1:18" x14ac:dyDescent="0.35">
      <c r="A94" s="54">
        <v>1110003</v>
      </c>
      <c r="B94" s="54">
        <v>100350</v>
      </c>
      <c r="C94" s="54" t="s">
        <v>780</v>
      </c>
      <c r="D94" s="51">
        <v>190775.35000000571</v>
      </c>
      <c r="E94" s="52">
        <v>0.16178475387992558</v>
      </c>
      <c r="F94" s="51">
        <v>190775.35000000571</v>
      </c>
      <c r="G94" s="52">
        <v>0.16178475387992558</v>
      </c>
      <c r="H94" s="53">
        <v>11118.999900000001</v>
      </c>
      <c r="I94" s="52">
        <v>3.6639931008763817E-2</v>
      </c>
      <c r="J94" s="53">
        <v>11118.999900000001</v>
      </c>
      <c r="K94" s="52">
        <v>3.6639931008763817E-2</v>
      </c>
      <c r="L94" s="53">
        <v>6812</v>
      </c>
      <c r="M94" s="52">
        <v>7.5432628309421686E-3</v>
      </c>
      <c r="N94" s="53">
        <v>6812</v>
      </c>
      <c r="O94" s="52">
        <v>7.5432628309421686E-3</v>
      </c>
      <c r="P94" s="51">
        <f t="shared" si="2"/>
        <v>1.6322665736934823</v>
      </c>
      <c r="Q94" s="50">
        <f t="shared" si="3"/>
        <v>28.005776570758325</v>
      </c>
      <c r="R94" s="39" t="s">
        <v>54</v>
      </c>
    </row>
    <row r="95" spans="1:18" x14ac:dyDescent="0.35">
      <c r="A95" s="54">
        <v>1170002</v>
      </c>
      <c r="B95" s="54">
        <v>100461</v>
      </c>
      <c r="C95" s="54" t="s">
        <v>779</v>
      </c>
      <c r="D95" s="51">
        <v>190666.24000000115</v>
      </c>
      <c r="E95" s="52">
        <v>1.9120688942806021E-2</v>
      </c>
      <c r="F95" s="51">
        <v>190666.24000000115</v>
      </c>
      <c r="G95" s="52">
        <v>1.9120688942806021E-2</v>
      </c>
      <c r="H95" s="53">
        <v>9636</v>
      </c>
      <c r="I95" s="52">
        <v>-4.6978538225694789E-2</v>
      </c>
      <c r="J95" s="53">
        <v>9636</v>
      </c>
      <c r="K95" s="52">
        <v>-4.6978538225694789E-2</v>
      </c>
      <c r="L95" s="53">
        <v>5987</v>
      </c>
      <c r="M95" s="52">
        <v>-3.9775461106655974E-2</v>
      </c>
      <c r="N95" s="53">
        <v>5987</v>
      </c>
      <c r="O95" s="52">
        <v>-3.9775461106655974E-2</v>
      </c>
      <c r="P95" s="51">
        <f t="shared" si="2"/>
        <v>1.6094872223150158</v>
      </c>
      <c r="Q95" s="50">
        <f t="shared" si="3"/>
        <v>31.846707867045456</v>
      </c>
      <c r="R95" s="39" t="s">
        <v>54</v>
      </c>
    </row>
    <row r="96" spans="1:18" x14ac:dyDescent="0.35">
      <c r="A96" s="54">
        <v>1240121</v>
      </c>
      <c r="B96" s="54">
        <v>100958</v>
      </c>
      <c r="C96" s="54" t="s">
        <v>778</v>
      </c>
      <c r="D96" s="51">
        <v>189277.7699999997</v>
      </c>
      <c r="E96" s="52">
        <v>8.4004525291132365E-2</v>
      </c>
      <c r="F96" s="51">
        <v>189277.7699999997</v>
      </c>
      <c r="G96" s="52">
        <v>8.4004525291132365E-2</v>
      </c>
      <c r="H96" s="53">
        <v>11377</v>
      </c>
      <c r="I96" s="52">
        <v>-4.9778668671176814E-2</v>
      </c>
      <c r="J96" s="53">
        <v>11377</v>
      </c>
      <c r="K96" s="52">
        <v>-4.9778668671176814E-2</v>
      </c>
      <c r="L96" s="53">
        <v>7324</v>
      </c>
      <c r="M96" s="52">
        <v>-7.758186397984887E-2</v>
      </c>
      <c r="N96" s="53">
        <v>7324</v>
      </c>
      <c r="O96" s="52">
        <v>-7.758186397984887E-2</v>
      </c>
      <c r="P96" s="51">
        <f t="shared" si="2"/>
        <v>1.5533861277990169</v>
      </c>
      <c r="Q96" s="50">
        <f t="shared" si="3"/>
        <v>25.843496723102088</v>
      </c>
      <c r="R96" s="39" t="s">
        <v>54</v>
      </c>
    </row>
    <row r="97" spans="1:18" x14ac:dyDescent="0.35">
      <c r="A97" s="54">
        <v>1160034</v>
      </c>
      <c r="B97" s="54">
        <v>107868</v>
      </c>
      <c r="C97" s="54" t="s">
        <v>777</v>
      </c>
      <c r="D97" s="51">
        <v>187186.2399999997</v>
      </c>
      <c r="E97" s="52"/>
      <c r="F97" s="51"/>
      <c r="G97" s="52"/>
      <c r="H97" s="53">
        <v>9176.99</v>
      </c>
      <c r="I97" s="52" t="s">
        <v>52</v>
      </c>
      <c r="J97" s="53"/>
      <c r="K97" s="52"/>
      <c r="L97" s="53">
        <v>6138</v>
      </c>
      <c r="M97" s="52" t="s">
        <v>52</v>
      </c>
      <c r="N97" s="53"/>
      <c r="O97" s="52"/>
      <c r="P97" s="51">
        <f t="shared" si="2"/>
        <v>1.4951107852720755</v>
      </c>
      <c r="Q97" s="50">
        <f t="shared" si="3"/>
        <v>30.496291951775774</v>
      </c>
      <c r="R97" s="39" t="s">
        <v>51</v>
      </c>
    </row>
    <row r="98" spans="1:18" x14ac:dyDescent="0.35">
      <c r="A98" s="54">
        <v>1210007</v>
      </c>
      <c r="B98" s="54">
        <v>100676</v>
      </c>
      <c r="C98" s="54" t="s">
        <v>776</v>
      </c>
      <c r="D98" s="51">
        <v>186160.73000000062</v>
      </c>
      <c r="E98" s="52">
        <v>9.7825440188456986E-2</v>
      </c>
      <c r="F98" s="51">
        <v>186160.73000000062</v>
      </c>
      <c r="G98" s="52">
        <v>9.7825440188456986E-2</v>
      </c>
      <c r="H98" s="53">
        <v>10634</v>
      </c>
      <c r="I98" s="52">
        <v>-1.737201995934208E-2</v>
      </c>
      <c r="J98" s="53">
        <v>10634</v>
      </c>
      <c r="K98" s="52">
        <v>-1.737201995934208E-2</v>
      </c>
      <c r="L98" s="53">
        <v>7535</v>
      </c>
      <c r="M98" s="52">
        <v>-1.6575306708431218E-2</v>
      </c>
      <c r="N98" s="53">
        <v>7535</v>
      </c>
      <c r="O98" s="52">
        <v>-1.6575306708431218E-2</v>
      </c>
      <c r="P98" s="51">
        <f t="shared" si="2"/>
        <v>1.411280690112807</v>
      </c>
      <c r="Q98" s="50">
        <f t="shared" si="3"/>
        <v>24.706135368281437</v>
      </c>
      <c r="R98" s="39" t="s">
        <v>51</v>
      </c>
    </row>
    <row r="99" spans="1:18" x14ac:dyDescent="0.35">
      <c r="A99" s="54">
        <v>1240206</v>
      </c>
      <c r="B99" s="54">
        <v>102289</v>
      </c>
      <c r="C99" s="54" t="s">
        <v>775</v>
      </c>
      <c r="D99" s="51">
        <v>186088.50000000774</v>
      </c>
      <c r="E99" s="52">
        <v>8.4084607866876881E-2</v>
      </c>
      <c r="F99" s="51">
        <v>186088.50000000774</v>
      </c>
      <c r="G99" s="52">
        <v>8.4084607866876881E-2</v>
      </c>
      <c r="H99" s="53">
        <v>11700.2</v>
      </c>
      <c r="I99" s="52">
        <v>-1.654198537446409E-2</v>
      </c>
      <c r="J99" s="53">
        <v>11700.2</v>
      </c>
      <c r="K99" s="52">
        <v>-1.654198537446409E-2</v>
      </c>
      <c r="L99" s="53">
        <v>7365</v>
      </c>
      <c r="M99" s="52">
        <v>-1.8130915877882948E-2</v>
      </c>
      <c r="N99" s="53">
        <v>7365</v>
      </c>
      <c r="O99" s="52">
        <v>-1.8130915877882948E-2</v>
      </c>
      <c r="P99" s="51">
        <f t="shared" si="2"/>
        <v>1.5886218601493551</v>
      </c>
      <c r="Q99" s="50">
        <f t="shared" si="3"/>
        <v>25.266598778005125</v>
      </c>
      <c r="R99" s="39" t="s">
        <v>54</v>
      </c>
    </row>
    <row r="100" spans="1:18" x14ac:dyDescent="0.35">
      <c r="A100" s="54">
        <v>1260002</v>
      </c>
      <c r="B100" s="54">
        <v>105221</v>
      </c>
      <c r="C100" s="54" t="s">
        <v>774</v>
      </c>
      <c r="D100" s="51">
        <v>185106.38000000519</v>
      </c>
      <c r="E100" s="52">
        <v>2.5624434707058857E-2</v>
      </c>
      <c r="F100" s="51">
        <v>185106.38000000519</v>
      </c>
      <c r="G100" s="52">
        <v>2.5624434707058857E-2</v>
      </c>
      <c r="H100" s="53">
        <v>11988</v>
      </c>
      <c r="I100" s="52">
        <v>-9.4288304623753399E-2</v>
      </c>
      <c r="J100" s="53">
        <v>11988</v>
      </c>
      <c r="K100" s="52">
        <v>-9.4288304623753399E-2</v>
      </c>
      <c r="L100" s="53">
        <v>7884</v>
      </c>
      <c r="M100" s="52">
        <v>-8.2615778450081459E-2</v>
      </c>
      <c r="N100" s="53">
        <v>7884</v>
      </c>
      <c r="O100" s="52">
        <v>-8.2615778450081459E-2</v>
      </c>
      <c r="P100" s="51">
        <f t="shared" si="2"/>
        <v>1.5205479452054795</v>
      </c>
      <c r="Q100" s="50">
        <f t="shared" si="3"/>
        <v>23.478739218671382</v>
      </c>
      <c r="R100" s="39" t="s">
        <v>54</v>
      </c>
    </row>
    <row r="101" spans="1:18" x14ac:dyDescent="0.35">
      <c r="A101" s="54">
        <v>1230021</v>
      </c>
      <c r="B101" s="54">
        <v>100940</v>
      </c>
      <c r="C101" s="54" t="s">
        <v>773</v>
      </c>
      <c r="D101" s="51">
        <v>184470.51000000286</v>
      </c>
      <c r="E101" s="52">
        <v>0.96223555313787379</v>
      </c>
      <c r="F101" s="51">
        <v>184470.51000000286</v>
      </c>
      <c r="G101" s="52">
        <v>0.96223555313787379</v>
      </c>
      <c r="H101" s="53">
        <v>12201</v>
      </c>
      <c r="I101" s="52">
        <v>0.77909011373578307</v>
      </c>
      <c r="J101" s="53">
        <v>12201</v>
      </c>
      <c r="K101" s="52">
        <v>0.77909011373578307</v>
      </c>
      <c r="L101" s="53">
        <v>9353</v>
      </c>
      <c r="M101" s="52">
        <v>0.72437315634218291</v>
      </c>
      <c r="N101" s="53">
        <v>9353</v>
      </c>
      <c r="O101" s="52">
        <v>0.72437315634218291</v>
      </c>
      <c r="P101" s="51">
        <f t="shared" si="2"/>
        <v>1.3045012295520153</v>
      </c>
      <c r="Q101" s="50">
        <f t="shared" si="3"/>
        <v>19.723138030578731</v>
      </c>
      <c r="R101" s="39" t="s">
        <v>51</v>
      </c>
    </row>
    <row r="102" spans="1:18" x14ac:dyDescent="0.35">
      <c r="A102" s="54">
        <v>1240185</v>
      </c>
      <c r="B102" s="54">
        <v>101517</v>
      </c>
      <c r="C102" s="54" t="s">
        <v>772</v>
      </c>
      <c r="D102" s="51">
        <v>184329.12000000628</v>
      </c>
      <c r="E102" s="52">
        <v>-0.20173281926639194</v>
      </c>
      <c r="F102" s="51">
        <v>184329.12000000628</v>
      </c>
      <c r="G102" s="52">
        <v>-0.20173281926639194</v>
      </c>
      <c r="H102" s="53">
        <v>12403</v>
      </c>
      <c r="I102" s="52">
        <v>-0.28140208574739284</v>
      </c>
      <c r="J102" s="53">
        <v>12403</v>
      </c>
      <c r="K102" s="52">
        <v>-0.28140208574739284</v>
      </c>
      <c r="L102" s="53">
        <v>8547</v>
      </c>
      <c r="M102" s="52">
        <v>-0.26204455189086512</v>
      </c>
      <c r="N102" s="53">
        <v>8547</v>
      </c>
      <c r="O102" s="52">
        <v>-0.26204455189086512</v>
      </c>
      <c r="P102" s="51">
        <f t="shared" si="2"/>
        <v>1.4511524511524512</v>
      </c>
      <c r="Q102" s="50">
        <f t="shared" si="3"/>
        <v>21.566528606529342</v>
      </c>
      <c r="R102" s="39" t="s">
        <v>51</v>
      </c>
    </row>
    <row r="103" spans="1:18" x14ac:dyDescent="0.35">
      <c r="A103" s="54">
        <v>1230005</v>
      </c>
      <c r="B103" s="54">
        <v>104602</v>
      </c>
      <c r="C103" s="54" t="s">
        <v>771</v>
      </c>
      <c r="D103" s="51">
        <v>183835.42000000848</v>
      </c>
      <c r="E103" s="52">
        <v>0.17667486083928322</v>
      </c>
      <c r="F103" s="51">
        <v>183835.42000000848</v>
      </c>
      <c r="G103" s="52">
        <v>0.17667486083928322</v>
      </c>
      <c r="H103" s="53">
        <v>11536</v>
      </c>
      <c r="I103" s="52">
        <v>5.0924660654094928E-2</v>
      </c>
      <c r="J103" s="53">
        <v>11536</v>
      </c>
      <c r="K103" s="52">
        <v>5.0924660654094928E-2</v>
      </c>
      <c r="L103" s="53">
        <v>7557</v>
      </c>
      <c r="M103" s="52">
        <v>7.0093457943925228E-2</v>
      </c>
      <c r="N103" s="53">
        <v>7557</v>
      </c>
      <c r="O103" s="52">
        <v>7.0093457943925228E-2</v>
      </c>
      <c r="P103" s="51">
        <f t="shared" si="2"/>
        <v>1.5265316924705572</v>
      </c>
      <c r="Q103" s="50">
        <f t="shared" si="3"/>
        <v>24.326507873495895</v>
      </c>
      <c r="R103" s="39" t="s">
        <v>54</v>
      </c>
    </row>
    <row r="104" spans="1:18" x14ac:dyDescent="0.35">
      <c r="A104" s="54">
        <v>1240122</v>
      </c>
      <c r="B104" s="54">
        <v>100847</v>
      </c>
      <c r="C104" s="54" t="s">
        <v>770</v>
      </c>
      <c r="D104" s="51">
        <v>183371.27000000823</v>
      </c>
      <c r="E104" s="52">
        <v>-4.1811919699797695E-2</v>
      </c>
      <c r="F104" s="51">
        <v>183371.27000000823</v>
      </c>
      <c r="G104" s="52">
        <v>-4.1811919699797695E-2</v>
      </c>
      <c r="H104" s="53">
        <v>11528</v>
      </c>
      <c r="I104" s="52">
        <v>-8.6891089108910885E-2</v>
      </c>
      <c r="J104" s="53">
        <v>11528</v>
      </c>
      <c r="K104" s="52">
        <v>-8.6891089108910885E-2</v>
      </c>
      <c r="L104" s="53">
        <v>7550</v>
      </c>
      <c r="M104" s="52">
        <v>-8.1396763596544588E-2</v>
      </c>
      <c r="N104" s="53">
        <v>7550</v>
      </c>
      <c r="O104" s="52">
        <v>-8.1396763596544588E-2</v>
      </c>
      <c r="P104" s="51">
        <f t="shared" si="2"/>
        <v>1.5268874172185432</v>
      </c>
      <c r="Q104" s="50">
        <f t="shared" si="3"/>
        <v>24.287585430464667</v>
      </c>
      <c r="R104" s="39" t="s">
        <v>54</v>
      </c>
    </row>
    <row r="105" spans="1:18" x14ac:dyDescent="0.35">
      <c r="A105" s="54">
        <v>1240020</v>
      </c>
      <c r="B105" s="54">
        <v>100831</v>
      </c>
      <c r="C105" s="54" t="s">
        <v>769</v>
      </c>
      <c r="D105" s="51">
        <v>182654.53000000821</v>
      </c>
      <c r="E105" s="52">
        <v>0.24743190088817776</v>
      </c>
      <c r="F105" s="51">
        <v>182654.53000000821</v>
      </c>
      <c r="G105" s="52">
        <v>0.24743190088817776</v>
      </c>
      <c r="H105" s="53">
        <v>11653</v>
      </c>
      <c r="I105" s="52">
        <v>0.12263969171483623</v>
      </c>
      <c r="J105" s="53">
        <v>11653</v>
      </c>
      <c r="K105" s="52">
        <v>0.12263969171483623</v>
      </c>
      <c r="L105" s="53">
        <v>6787</v>
      </c>
      <c r="M105" s="52">
        <v>9.5560936238902341E-2</v>
      </c>
      <c r="N105" s="53">
        <v>6787</v>
      </c>
      <c r="O105" s="52">
        <v>9.5560936238902341E-2</v>
      </c>
      <c r="P105" s="51">
        <f t="shared" si="2"/>
        <v>1.7169588919994105</v>
      </c>
      <c r="Q105" s="50">
        <f t="shared" si="3"/>
        <v>26.912410490645087</v>
      </c>
      <c r="R105" s="39" t="s">
        <v>54</v>
      </c>
    </row>
    <row r="106" spans="1:18" x14ac:dyDescent="0.35">
      <c r="A106" s="54">
        <v>1230037</v>
      </c>
      <c r="B106" s="54">
        <v>100560</v>
      </c>
      <c r="C106" s="54" t="s">
        <v>768</v>
      </c>
      <c r="D106" s="51">
        <v>182309.67000000685</v>
      </c>
      <c r="E106" s="52">
        <v>0.13177473724728217</v>
      </c>
      <c r="F106" s="51">
        <v>182309.67000000685</v>
      </c>
      <c r="G106" s="52">
        <v>0.13177473724728217</v>
      </c>
      <c r="H106" s="53">
        <v>11773</v>
      </c>
      <c r="I106" s="52">
        <v>5.8954203691045795E-3</v>
      </c>
      <c r="J106" s="53">
        <v>11773</v>
      </c>
      <c r="K106" s="52">
        <v>5.8954203691045795E-3</v>
      </c>
      <c r="L106" s="53">
        <v>8316</v>
      </c>
      <c r="M106" s="52">
        <v>8.8559990294795592E-3</v>
      </c>
      <c r="N106" s="53">
        <v>8316</v>
      </c>
      <c r="O106" s="52">
        <v>8.8559990294795592E-3</v>
      </c>
      <c r="P106" s="51">
        <f t="shared" si="2"/>
        <v>1.4157046657046657</v>
      </c>
      <c r="Q106" s="50">
        <f t="shared" si="3"/>
        <v>21.922759740260563</v>
      </c>
      <c r="R106" s="39" t="s">
        <v>51</v>
      </c>
    </row>
    <row r="107" spans="1:18" x14ac:dyDescent="0.35">
      <c r="A107" s="54">
        <v>1190018</v>
      </c>
      <c r="B107" s="54">
        <v>100244</v>
      </c>
      <c r="C107" s="54" t="s">
        <v>767</v>
      </c>
      <c r="D107" s="51">
        <v>180733.11000000645</v>
      </c>
      <c r="E107" s="52">
        <v>0.70916956102063544</v>
      </c>
      <c r="F107" s="51">
        <v>180733.11000000645</v>
      </c>
      <c r="G107" s="52">
        <v>0.70916956102063544</v>
      </c>
      <c r="H107" s="53">
        <v>10493</v>
      </c>
      <c r="I107" s="52">
        <v>0.52581067325868835</v>
      </c>
      <c r="J107" s="53">
        <v>10493</v>
      </c>
      <c r="K107" s="52">
        <v>0.52581067325868835</v>
      </c>
      <c r="L107" s="53">
        <v>7049</v>
      </c>
      <c r="M107" s="52">
        <v>0.5557272125358641</v>
      </c>
      <c r="N107" s="53">
        <v>7049</v>
      </c>
      <c r="O107" s="52">
        <v>0.5557272125358641</v>
      </c>
      <c r="P107" s="51">
        <f t="shared" si="2"/>
        <v>1.4885799404170805</v>
      </c>
      <c r="Q107" s="50">
        <f t="shared" si="3"/>
        <v>25.639538941694774</v>
      </c>
      <c r="R107" s="39" t="s">
        <v>51</v>
      </c>
    </row>
    <row r="108" spans="1:18" x14ac:dyDescent="0.35">
      <c r="A108" s="54">
        <v>1250048</v>
      </c>
      <c r="B108" s="54">
        <v>107327</v>
      </c>
      <c r="C108" s="54" t="s">
        <v>766</v>
      </c>
      <c r="D108" s="51">
        <v>176993.72999999943</v>
      </c>
      <c r="E108" s="52">
        <v>0.42164963143431278</v>
      </c>
      <c r="F108" s="51">
        <v>123800.61999999976</v>
      </c>
      <c r="G108" s="52">
        <v>-5.608245024613925E-3</v>
      </c>
      <c r="H108" s="53">
        <v>8184</v>
      </c>
      <c r="I108" s="52">
        <v>0.36082474226804123</v>
      </c>
      <c r="J108" s="53">
        <v>5701</v>
      </c>
      <c r="K108" s="52">
        <v>-5.204522780179581E-2</v>
      </c>
      <c r="L108" s="53">
        <v>5528</v>
      </c>
      <c r="M108" s="52">
        <v>0.37512437810945276</v>
      </c>
      <c r="N108" s="53">
        <v>3930</v>
      </c>
      <c r="O108" s="52">
        <v>-2.2388059701492536E-2</v>
      </c>
      <c r="P108" s="51">
        <f t="shared" si="2"/>
        <v>1.4804630969609263</v>
      </c>
      <c r="Q108" s="50">
        <f t="shared" si="3"/>
        <v>32.017679088277752</v>
      </c>
      <c r="R108" s="39" t="s">
        <v>51</v>
      </c>
    </row>
    <row r="109" spans="1:18" x14ac:dyDescent="0.35">
      <c r="A109" s="54">
        <v>1230084</v>
      </c>
      <c r="B109" s="54">
        <v>105605</v>
      </c>
      <c r="C109" s="54" t="s">
        <v>765</v>
      </c>
      <c r="D109" s="51">
        <v>176464.10000000632</v>
      </c>
      <c r="E109" s="52">
        <v>0.21422719736922166</v>
      </c>
      <c r="F109" s="51">
        <v>176464.10000000632</v>
      </c>
      <c r="G109" s="52">
        <v>0.21422719736922166</v>
      </c>
      <c r="H109" s="53">
        <v>10697</v>
      </c>
      <c r="I109" s="52">
        <v>9.0862737099734858E-2</v>
      </c>
      <c r="J109" s="53">
        <v>10697</v>
      </c>
      <c r="K109" s="52">
        <v>9.0862737099734858E-2</v>
      </c>
      <c r="L109" s="53">
        <v>7026</v>
      </c>
      <c r="M109" s="52">
        <v>9.473356185727641E-2</v>
      </c>
      <c r="N109" s="53">
        <v>7026</v>
      </c>
      <c r="O109" s="52">
        <v>9.473356185727641E-2</v>
      </c>
      <c r="P109" s="51">
        <f t="shared" si="2"/>
        <v>1.522487902077996</v>
      </c>
      <c r="Q109" s="50">
        <f t="shared" si="3"/>
        <v>25.115869627100246</v>
      </c>
      <c r="R109" s="39" t="s">
        <v>54</v>
      </c>
    </row>
    <row r="110" spans="1:18" x14ac:dyDescent="0.35">
      <c r="A110" s="54">
        <v>1270006</v>
      </c>
      <c r="B110" s="54">
        <v>103801</v>
      </c>
      <c r="C110" s="54" t="s">
        <v>764</v>
      </c>
      <c r="D110" s="51">
        <v>175880.58000000793</v>
      </c>
      <c r="E110" s="52">
        <v>1.9263601282661372E-2</v>
      </c>
      <c r="F110" s="51">
        <v>175880.58000000793</v>
      </c>
      <c r="G110" s="52">
        <v>1.9263601282661372E-2</v>
      </c>
      <c r="H110" s="53">
        <v>12760.99</v>
      </c>
      <c r="I110" s="52">
        <v>-5.8993437062163576E-2</v>
      </c>
      <c r="J110" s="53">
        <v>12760.99</v>
      </c>
      <c r="K110" s="52">
        <v>-5.8993437062163576E-2</v>
      </c>
      <c r="L110" s="53">
        <v>9222</v>
      </c>
      <c r="M110" s="52">
        <v>-7.1205559472253002E-2</v>
      </c>
      <c r="N110" s="53">
        <v>9222</v>
      </c>
      <c r="O110" s="52">
        <v>-7.1205559472253002E-2</v>
      </c>
      <c r="P110" s="51">
        <f t="shared" si="2"/>
        <v>1.3837551507265236</v>
      </c>
      <c r="Q110" s="50">
        <f t="shared" si="3"/>
        <v>19.071847755368459</v>
      </c>
      <c r="R110" s="39" t="s">
        <v>51</v>
      </c>
    </row>
    <row r="111" spans="1:18" x14ac:dyDescent="0.35">
      <c r="A111" s="54">
        <v>1080001</v>
      </c>
      <c r="B111" s="54">
        <v>102285</v>
      </c>
      <c r="C111" s="54" t="s">
        <v>763</v>
      </c>
      <c r="D111" s="51">
        <v>175811.53000000789</v>
      </c>
      <c r="E111" s="52">
        <v>4.249433440304988E-2</v>
      </c>
      <c r="F111" s="51">
        <v>175811.53000000789</v>
      </c>
      <c r="G111" s="52">
        <v>4.249433440304988E-2</v>
      </c>
      <c r="H111" s="53">
        <v>10316</v>
      </c>
      <c r="I111" s="52">
        <v>-4.2509745684054204E-2</v>
      </c>
      <c r="J111" s="53">
        <v>10316</v>
      </c>
      <c r="K111" s="52">
        <v>-4.2509745684054204E-2</v>
      </c>
      <c r="L111" s="53">
        <v>6009</v>
      </c>
      <c r="M111" s="52">
        <v>-2.1176087310636912E-2</v>
      </c>
      <c r="N111" s="53">
        <v>6009</v>
      </c>
      <c r="O111" s="52">
        <v>-2.1176087310636912E-2</v>
      </c>
      <c r="P111" s="51">
        <f t="shared" si="2"/>
        <v>1.7167581960392744</v>
      </c>
      <c r="Q111" s="50">
        <f t="shared" si="3"/>
        <v>29.258034614745863</v>
      </c>
      <c r="R111" s="39" t="s">
        <v>54</v>
      </c>
    </row>
    <row r="112" spans="1:18" x14ac:dyDescent="0.35">
      <c r="A112" s="54">
        <v>1190006</v>
      </c>
      <c r="B112" s="54">
        <v>103387</v>
      </c>
      <c r="C112" s="54" t="s">
        <v>762</v>
      </c>
      <c r="D112" s="51">
        <v>175638.03000000471</v>
      </c>
      <c r="E112" s="52">
        <v>0.31412013380474263</v>
      </c>
      <c r="F112" s="51">
        <v>175638.03000000471</v>
      </c>
      <c r="G112" s="52">
        <v>0.31412013380474263</v>
      </c>
      <c r="H112" s="53">
        <v>9427</v>
      </c>
      <c r="I112" s="52">
        <v>0.16454601605929586</v>
      </c>
      <c r="J112" s="53">
        <v>9427</v>
      </c>
      <c r="K112" s="52">
        <v>0.16454601605929586</v>
      </c>
      <c r="L112" s="53">
        <v>6113</v>
      </c>
      <c r="M112" s="52">
        <v>0.13561211220509009</v>
      </c>
      <c r="N112" s="53">
        <v>6113</v>
      </c>
      <c r="O112" s="52">
        <v>0.13561211220509009</v>
      </c>
      <c r="P112" s="51">
        <f t="shared" si="2"/>
        <v>1.5421233436937674</v>
      </c>
      <c r="Q112" s="50">
        <f t="shared" si="3"/>
        <v>28.731887780141456</v>
      </c>
      <c r="R112" s="39" t="s">
        <v>54</v>
      </c>
    </row>
    <row r="113" spans="1:18" x14ac:dyDescent="0.35">
      <c r="A113" s="54">
        <v>1260001</v>
      </c>
      <c r="B113" s="54">
        <v>101907</v>
      </c>
      <c r="C113" s="54" t="s">
        <v>761</v>
      </c>
      <c r="D113" s="51">
        <v>175296.04000000723</v>
      </c>
      <c r="E113" s="52">
        <v>-1.7773160204956572E-2</v>
      </c>
      <c r="F113" s="51">
        <v>175296.04000000723</v>
      </c>
      <c r="G113" s="52">
        <v>-1.7773160204956572E-2</v>
      </c>
      <c r="H113" s="53">
        <v>11173</v>
      </c>
      <c r="I113" s="52">
        <v>-0.12334248724990192</v>
      </c>
      <c r="J113" s="53">
        <v>11173</v>
      </c>
      <c r="K113" s="52">
        <v>-0.12334248724990192</v>
      </c>
      <c r="L113" s="53">
        <v>7026</v>
      </c>
      <c r="M113" s="52">
        <v>-0.12120075046904315</v>
      </c>
      <c r="N113" s="53">
        <v>7026</v>
      </c>
      <c r="O113" s="52">
        <v>-0.12120075046904315</v>
      </c>
      <c r="P113" s="51">
        <f t="shared" si="2"/>
        <v>1.590236265300313</v>
      </c>
      <c r="Q113" s="50">
        <f t="shared" si="3"/>
        <v>24.94962140620655</v>
      </c>
      <c r="R113" s="39" t="s">
        <v>54</v>
      </c>
    </row>
    <row r="114" spans="1:18" x14ac:dyDescent="0.35">
      <c r="A114" s="54">
        <v>1200011</v>
      </c>
      <c r="B114" s="54">
        <v>103369</v>
      </c>
      <c r="C114" s="54" t="s">
        <v>760</v>
      </c>
      <c r="D114" s="51">
        <v>175227.87000000553</v>
      </c>
      <c r="E114" s="52">
        <v>8.1028990720746624E-2</v>
      </c>
      <c r="F114" s="51">
        <v>175227.87000000553</v>
      </c>
      <c r="G114" s="52">
        <v>8.1028990720746624E-2</v>
      </c>
      <c r="H114" s="53">
        <v>11018</v>
      </c>
      <c r="I114" s="52">
        <v>-3.4609655655831073E-2</v>
      </c>
      <c r="J114" s="53">
        <v>11018</v>
      </c>
      <c r="K114" s="52">
        <v>-3.4609655655831073E-2</v>
      </c>
      <c r="L114" s="53">
        <v>7463</v>
      </c>
      <c r="M114" s="52">
        <v>-6.4904147349956143E-2</v>
      </c>
      <c r="N114" s="53">
        <v>7463</v>
      </c>
      <c r="O114" s="52">
        <v>-6.4904147349956143E-2</v>
      </c>
      <c r="P114" s="51">
        <f t="shared" si="2"/>
        <v>1.4763499933002815</v>
      </c>
      <c r="Q114" s="50">
        <f t="shared" si="3"/>
        <v>23.479548438966305</v>
      </c>
      <c r="R114" s="39" t="s">
        <v>51</v>
      </c>
    </row>
    <row r="115" spans="1:18" x14ac:dyDescent="0.35">
      <c r="A115" s="54">
        <v>1190002</v>
      </c>
      <c r="B115" s="54">
        <v>104908</v>
      </c>
      <c r="C115" s="54" t="s">
        <v>759</v>
      </c>
      <c r="D115" s="51">
        <v>173930.48000000851</v>
      </c>
      <c r="E115" s="52">
        <v>-0.42113337598685285</v>
      </c>
      <c r="F115" s="51">
        <v>173930.48000000851</v>
      </c>
      <c r="G115" s="52">
        <v>-0.42113337598685285</v>
      </c>
      <c r="H115" s="53">
        <v>9581</v>
      </c>
      <c r="I115" s="52">
        <v>-0.49363141483008299</v>
      </c>
      <c r="J115" s="53">
        <v>9581</v>
      </c>
      <c r="K115" s="52">
        <v>-0.49363141483008299</v>
      </c>
      <c r="L115" s="53">
        <v>6266</v>
      </c>
      <c r="M115" s="52">
        <v>-0.4952066382018851</v>
      </c>
      <c r="N115" s="53">
        <v>6266</v>
      </c>
      <c r="O115" s="52">
        <v>-0.4952066382018851</v>
      </c>
      <c r="P115" s="51">
        <f t="shared" si="2"/>
        <v>1.5290456431535269</v>
      </c>
      <c r="Q115" s="50">
        <f t="shared" si="3"/>
        <v>27.757816789021465</v>
      </c>
      <c r="R115" s="39" t="s">
        <v>54</v>
      </c>
    </row>
    <row r="116" spans="1:18" x14ac:dyDescent="0.35">
      <c r="A116" s="54">
        <v>1240341</v>
      </c>
      <c r="B116" s="54">
        <v>106006</v>
      </c>
      <c r="C116" s="54" t="s">
        <v>758</v>
      </c>
      <c r="D116" s="51">
        <v>173289.21000000701</v>
      </c>
      <c r="E116" s="52">
        <v>0.13284311447053274</v>
      </c>
      <c r="F116" s="51">
        <v>173289.21000000701</v>
      </c>
      <c r="G116" s="52">
        <v>0.13284311447053274</v>
      </c>
      <c r="H116" s="53">
        <v>11827</v>
      </c>
      <c r="I116" s="52">
        <v>1.0768310400820442E-2</v>
      </c>
      <c r="J116" s="53">
        <v>11827</v>
      </c>
      <c r="K116" s="52">
        <v>1.0768310400820442E-2</v>
      </c>
      <c r="L116" s="53">
        <v>7427</v>
      </c>
      <c r="M116" s="52">
        <v>-3.0544315363529567E-2</v>
      </c>
      <c r="N116" s="53">
        <v>7427</v>
      </c>
      <c r="O116" s="52">
        <v>-3.0544315363529567E-2</v>
      </c>
      <c r="P116" s="51">
        <f t="shared" si="2"/>
        <v>1.5924330146761816</v>
      </c>
      <c r="Q116" s="50">
        <f t="shared" si="3"/>
        <v>23.332329338899555</v>
      </c>
      <c r="R116" s="39" t="s">
        <v>54</v>
      </c>
    </row>
    <row r="117" spans="1:18" x14ac:dyDescent="0.35">
      <c r="A117" s="54">
        <v>1240137</v>
      </c>
      <c r="B117" s="54">
        <v>106181</v>
      </c>
      <c r="C117" s="54" t="s">
        <v>757</v>
      </c>
      <c r="D117" s="51">
        <v>172407.59000000879</v>
      </c>
      <c r="E117" s="52">
        <v>6.343013657940226E-2</v>
      </c>
      <c r="F117" s="51">
        <v>172407.59000000879</v>
      </c>
      <c r="G117" s="52">
        <v>6.343013657940226E-2</v>
      </c>
      <c r="H117" s="53">
        <v>11823.01</v>
      </c>
      <c r="I117" s="52">
        <v>-3.3436069326357079E-2</v>
      </c>
      <c r="J117" s="53">
        <v>11823.01</v>
      </c>
      <c r="K117" s="52">
        <v>-3.3436069326357079E-2</v>
      </c>
      <c r="L117" s="53">
        <v>7674</v>
      </c>
      <c r="M117" s="52">
        <v>-2.922201138519924E-2</v>
      </c>
      <c r="N117" s="53">
        <v>7674</v>
      </c>
      <c r="O117" s="52">
        <v>-2.922201138519924E-2</v>
      </c>
      <c r="P117" s="51">
        <f t="shared" si="2"/>
        <v>1.5406580661975502</v>
      </c>
      <c r="Q117" s="50">
        <f t="shared" si="3"/>
        <v>22.466456867345425</v>
      </c>
      <c r="R117" s="39" t="s">
        <v>54</v>
      </c>
    </row>
    <row r="118" spans="1:18" x14ac:dyDescent="0.35">
      <c r="A118" s="54">
        <v>1270010</v>
      </c>
      <c r="B118" s="54">
        <v>103093</v>
      </c>
      <c r="C118" s="54" t="s">
        <v>756</v>
      </c>
      <c r="D118" s="51">
        <v>171028.25000000885</v>
      </c>
      <c r="E118" s="52">
        <v>-2.3514957336906891E-2</v>
      </c>
      <c r="F118" s="51">
        <v>171028.25000000885</v>
      </c>
      <c r="G118" s="52">
        <v>-2.3514957336906891E-2</v>
      </c>
      <c r="H118" s="53">
        <v>11394</v>
      </c>
      <c r="I118" s="52">
        <v>-0.12049401775376302</v>
      </c>
      <c r="J118" s="53">
        <v>11394</v>
      </c>
      <c r="K118" s="52">
        <v>-0.12049401775376302</v>
      </c>
      <c r="L118" s="53">
        <v>7143</v>
      </c>
      <c r="M118" s="52">
        <v>-0.13249939276171971</v>
      </c>
      <c r="N118" s="53">
        <v>7143</v>
      </c>
      <c r="O118" s="52">
        <v>-0.13249939276171971</v>
      </c>
      <c r="P118" s="51">
        <f t="shared" si="2"/>
        <v>1.5951280974380513</v>
      </c>
      <c r="Q118" s="50">
        <f t="shared" si="3"/>
        <v>23.943476130478629</v>
      </c>
      <c r="R118" s="39" t="s">
        <v>54</v>
      </c>
    </row>
    <row r="119" spans="1:18" x14ac:dyDescent="0.35">
      <c r="A119" s="54">
        <v>1240059</v>
      </c>
      <c r="B119" s="54">
        <v>100642</v>
      </c>
      <c r="C119" s="54" t="s">
        <v>755</v>
      </c>
      <c r="D119" s="51">
        <v>169947.74000000776</v>
      </c>
      <c r="E119" s="52">
        <v>8.7571639414975838E-2</v>
      </c>
      <c r="F119" s="51">
        <v>169947.74000000776</v>
      </c>
      <c r="G119" s="52">
        <v>8.7571639414975838E-2</v>
      </c>
      <c r="H119" s="53">
        <v>11017</v>
      </c>
      <c r="I119" s="52">
        <v>-2.2188692642229519E-2</v>
      </c>
      <c r="J119" s="53">
        <v>11017</v>
      </c>
      <c r="K119" s="52">
        <v>-2.2188692642229519E-2</v>
      </c>
      <c r="L119" s="53">
        <v>6975</v>
      </c>
      <c r="M119" s="52">
        <v>6.2031159838430465E-3</v>
      </c>
      <c r="N119" s="53">
        <v>6975</v>
      </c>
      <c r="O119" s="52">
        <v>6.2031159838430465E-3</v>
      </c>
      <c r="P119" s="51">
        <f t="shared" si="2"/>
        <v>1.5794982078853046</v>
      </c>
      <c r="Q119" s="50">
        <f t="shared" si="3"/>
        <v>24.365267383513658</v>
      </c>
      <c r="R119" s="39" t="s">
        <v>54</v>
      </c>
    </row>
    <row r="120" spans="1:18" x14ac:dyDescent="0.35">
      <c r="A120" s="54">
        <v>1240093</v>
      </c>
      <c r="B120" s="54">
        <v>100650</v>
      </c>
      <c r="C120" s="54" t="s">
        <v>754</v>
      </c>
      <c r="D120" s="51">
        <v>168935.28000000803</v>
      </c>
      <c r="E120" s="52">
        <v>4.6419095185821345E-2</v>
      </c>
      <c r="F120" s="51">
        <v>168935.28000000803</v>
      </c>
      <c r="G120" s="52">
        <v>4.6419095185821345E-2</v>
      </c>
      <c r="H120" s="53">
        <v>12082</v>
      </c>
      <c r="I120" s="52">
        <v>-4.6484097545576517E-2</v>
      </c>
      <c r="J120" s="53">
        <v>12082</v>
      </c>
      <c r="K120" s="52">
        <v>-4.6484097545576517E-2</v>
      </c>
      <c r="L120" s="53">
        <v>8421</v>
      </c>
      <c r="M120" s="52">
        <v>-4.6427358170082665E-2</v>
      </c>
      <c r="N120" s="53">
        <v>8421</v>
      </c>
      <c r="O120" s="52">
        <v>-4.6427358170082665E-2</v>
      </c>
      <c r="P120" s="51">
        <f t="shared" si="2"/>
        <v>1.4347464671654198</v>
      </c>
      <c r="Q120" s="50">
        <f t="shared" si="3"/>
        <v>20.06118988243772</v>
      </c>
      <c r="R120" s="39" t="s">
        <v>51</v>
      </c>
    </row>
    <row r="121" spans="1:18" x14ac:dyDescent="0.35">
      <c r="A121" s="54">
        <v>1190007</v>
      </c>
      <c r="B121" s="54">
        <v>102272</v>
      </c>
      <c r="C121" s="54" t="s">
        <v>753</v>
      </c>
      <c r="D121" s="51">
        <v>168708.73999999982</v>
      </c>
      <c r="E121" s="52">
        <v>0.39423295128205227</v>
      </c>
      <c r="F121" s="51">
        <v>168708.73999999982</v>
      </c>
      <c r="G121" s="52">
        <v>0.39423295128205227</v>
      </c>
      <c r="H121" s="53">
        <v>8309</v>
      </c>
      <c r="I121" s="52">
        <v>0.28522815158546017</v>
      </c>
      <c r="J121" s="53">
        <v>8309</v>
      </c>
      <c r="K121" s="52">
        <v>0.28522815158546017</v>
      </c>
      <c r="L121" s="53">
        <v>6558</v>
      </c>
      <c r="M121" s="52">
        <v>0.29400157853196529</v>
      </c>
      <c r="N121" s="53">
        <v>6558</v>
      </c>
      <c r="O121" s="52">
        <v>0.29400157853196529</v>
      </c>
      <c r="P121" s="51">
        <f t="shared" si="2"/>
        <v>1.2670021347971943</v>
      </c>
      <c r="Q121" s="50">
        <f t="shared" si="3"/>
        <v>25.725638914303111</v>
      </c>
      <c r="R121" s="39" t="s">
        <v>51</v>
      </c>
    </row>
    <row r="122" spans="1:18" x14ac:dyDescent="0.35">
      <c r="A122" s="54">
        <v>1260003</v>
      </c>
      <c r="B122" s="54">
        <v>101080</v>
      </c>
      <c r="C122" s="54" t="s">
        <v>752</v>
      </c>
      <c r="D122" s="51">
        <v>167632.49000000482</v>
      </c>
      <c r="E122" s="52">
        <v>0.1160739627201208</v>
      </c>
      <c r="F122" s="51">
        <v>167632.49000000482</v>
      </c>
      <c r="G122" s="52">
        <v>0.1160739627201208</v>
      </c>
      <c r="H122" s="53">
        <v>10255</v>
      </c>
      <c r="I122" s="52">
        <v>-1.6231461407110445E-2</v>
      </c>
      <c r="J122" s="53">
        <v>10255</v>
      </c>
      <c r="K122" s="52">
        <v>-1.6231461407110445E-2</v>
      </c>
      <c r="L122" s="53">
        <v>6984</v>
      </c>
      <c r="M122" s="52">
        <v>-1.287001287001287E-3</v>
      </c>
      <c r="N122" s="53">
        <v>6984</v>
      </c>
      <c r="O122" s="52">
        <v>-1.287001287001287E-3</v>
      </c>
      <c r="P122" s="51">
        <f t="shared" si="2"/>
        <v>1.4683562428407788</v>
      </c>
      <c r="Q122" s="50">
        <f t="shared" si="3"/>
        <v>24.002361111111803</v>
      </c>
      <c r="R122" s="39" t="s">
        <v>51</v>
      </c>
    </row>
    <row r="123" spans="1:18" x14ac:dyDescent="0.35">
      <c r="A123" s="54">
        <v>1240097</v>
      </c>
      <c r="B123" s="54">
        <v>100842</v>
      </c>
      <c r="C123" s="54" t="s">
        <v>751</v>
      </c>
      <c r="D123" s="51">
        <v>167511.92000000706</v>
      </c>
      <c r="E123" s="52">
        <v>0.20558392494507322</v>
      </c>
      <c r="F123" s="51">
        <v>167511.92000000706</v>
      </c>
      <c r="G123" s="52">
        <v>0.20558392494507322</v>
      </c>
      <c r="H123" s="53">
        <v>9964</v>
      </c>
      <c r="I123" s="52">
        <v>9.771951085160295E-2</v>
      </c>
      <c r="J123" s="53">
        <v>9964</v>
      </c>
      <c r="K123" s="52">
        <v>9.771951085160295E-2</v>
      </c>
      <c r="L123" s="53">
        <v>6699</v>
      </c>
      <c r="M123" s="52">
        <v>0.11205179282868526</v>
      </c>
      <c r="N123" s="53">
        <v>6699</v>
      </c>
      <c r="O123" s="52">
        <v>0.11205179282868526</v>
      </c>
      <c r="P123" s="51">
        <f t="shared" si="2"/>
        <v>1.4873861770413495</v>
      </c>
      <c r="Q123" s="50">
        <f t="shared" si="3"/>
        <v>25.005511270339909</v>
      </c>
      <c r="R123" s="39" t="s">
        <v>51</v>
      </c>
    </row>
    <row r="124" spans="1:18" x14ac:dyDescent="0.35">
      <c r="A124" s="54">
        <v>1200006</v>
      </c>
      <c r="B124" s="54">
        <v>104051</v>
      </c>
      <c r="C124" s="54" t="s">
        <v>750</v>
      </c>
      <c r="D124" s="51">
        <v>165789.03000000684</v>
      </c>
      <c r="E124" s="52">
        <v>-0.29998625213764585</v>
      </c>
      <c r="F124" s="51">
        <v>165789.03000000684</v>
      </c>
      <c r="G124" s="52">
        <v>-0.29998625213764585</v>
      </c>
      <c r="H124" s="53">
        <v>9099</v>
      </c>
      <c r="I124" s="52">
        <v>-0.36437303527768078</v>
      </c>
      <c r="J124" s="53">
        <v>9099</v>
      </c>
      <c r="K124" s="52">
        <v>-0.36437303527768078</v>
      </c>
      <c r="L124" s="53">
        <v>5394</v>
      </c>
      <c r="M124" s="52">
        <v>-0.36712425202393523</v>
      </c>
      <c r="N124" s="53">
        <v>5394</v>
      </c>
      <c r="O124" s="52">
        <v>-0.36712425202393523</v>
      </c>
      <c r="P124" s="51">
        <f t="shared" si="2"/>
        <v>1.6868743047830923</v>
      </c>
      <c r="Q124" s="50">
        <f t="shared" si="3"/>
        <v>30.735823136819956</v>
      </c>
      <c r="R124" s="39" t="s">
        <v>54</v>
      </c>
    </row>
    <row r="125" spans="1:18" x14ac:dyDescent="0.35">
      <c r="A125" s="54">
        <v>1200005</v>
      </c>
      <c r="B125" s="54">
        <v>100241</v>
      </c>
      <c r="C125" s="54" t="s">
        <v>749</v>
      </c>
      <c r="D125" s="51">
        <v>165580.01000000653</v>
      </c>
      <c r="E125" s="52">
        <v>-2.1424293864386879E-2</v>
      </c>
      <c r="F125" s="51">
        <v>165580.01000000653</v>
      </c>
      <c r="G125" s="52">
        <v>-2.1424293864386879E-2</v>
      </c>
      <c r="H125" s="53">
        <v>10289</v>
      </c>
      <c r="I125" s="52">
        <v>-0.1149247311827957</v>
      </c>
      <c r="J125" s="53">
        <v>10289</v>
      </c>
      <c r="K125" s="52">
        <v>-0.1149247311827957</v>
      </c>
      <c r="L125" s="53">
        <v>6536</v>
      </c>
      <c r="M125" s="52">
        <v>-0.10941545169641641</v>
      </c>
      <c r="N125" s="53">
        <v>6536</v>
      </c>
      <c r="O125" s="52">
        <v>-0.10941545169641641</v>
      </c>
      <c r="P125" s="51">
        <f t="shared" si="2"/>
        <v>1.5742044063647491</v>
      </c>
      <c r="Q125" s="50">
        <f t="shared" si="3"/>
        <v>25.333538861690105</v>
      </c>
      <c r="R125" s="39" t="s">
        <v>54</v>
      </c>
    </row>
    <row r="126" spans="1:18" x14ac:dyDescent="0.35">
      <c r="A126" s="54">
        <v>1260005</v>
      </c>
      <c r="B126" s="54">
        <v>101103</v>
      </c>
      <c r="C126" s="54" t="s">
        <v>748</v>
      </c>
      <c r="D126" s="51">
        <v>164406.64000000735</v>
      </c>
      <c r="E126" s="52">
        <v>7.015855802612779E-2</v>
      </c>
      <c r="F126" s="51">
        <v>164406.64000000735</v>
      </c>
      <c r="G126" s="52">
        <v>7.015855802612779E-2</v>
      </c>
      <c r="H126" s="53">
        <v>9790</v>
      </c>
      <c r="I126" s="52">
        <v>-3.4992607195662891E-2</v>
      </c>
      <c r="J126" s="53">
        <v>9790</v>
      </c>
      <c r="K126" s="52">
        <v>-3.4992607195662891E-2</v>
      </c>
      <c r="L126" s="53">
        <v>6525</v>
      </c>
      <c r="M126" s="52">
        <v>-3.2042723631508681E-2</v>
      </c>
      <c r="N126" s="53">
        <v>6525</v>
      </c>
      <c r="O126" s="52">
        <v>-3.2042723631508681E-2</v>
      </c>
      <c r="P126" s="51">
        <f t="shared" si="2"/>
        <v>1.500383141762452</v>
      </c>
      <c r="Q126" s="50">
        <f t="shared" si="3"/>
        <v>25.196419923372773</v>
      </c>
      <c r="R126" s="39" t="s">
        <v>54</v>
      </c>
    </row>
    <row r="127" spans="1:18" x14ac:dyDescent="0.35">
      <c r="A127" s="54">
        <v>1230007</v>
      </c>
      <c r="B127" s="54">
        <v>100923</v>
      </c>
      <c r="C127" s="54" t="s">
        <v>747</v>
      </c>
      <c r="D127" s="51">
        <v>163946.11000000747</v>
      </c>
      <c r="E127" s="52">
        <v>0.40154348692122155</v>
      </c>
      <c r="F127" s="51">
        <v>163946.11000000747</v>
      </c>
      <c r="G127" s="52">
        <v>0.40154348692122155</v>
      </c>
      <c r="H127" s="53">
        <v>10417</v>
      </c>
      <c r="I127" s="52">
        <v>0.3270063694267516</v>
      </c>
      <c r="J127" s="53">
        <v>10417</v>
      </c>
      <c r="K127" s="52">
        <v>0.3270063694267516</v>
      </c>
      <c r="L127" s="53">
        <v>7490</v>
      </c>
      <c r="M127" s="52">
        <v>0.36305732484076431</v>
      </c>
      <c r="N127" s="53">
        <v>7490</v>
      </c>
      <c r="O127" s="52">
        <v>0.36305732484076431</v>
      </c>
      <c r="P127" s="51">
        <f t="shared" si="2"/>
        <v>1.3907877169559413</v>
      </c>
      <c r="Q127" s="50">
        <f t="shared" si="3"/>
        <v>21.888666221629837</v>
      </c>
      <c r="R127" s="39" t="s">
        <v>51</v>
      </c>
    </row>
    <row r="128" spans="1:18" x14ac:dyDescent="0.35">
      <c r="A128" s="54">
        <v>1240035</v>
      </c>
      <c r="B128" s="54">
        <v>100325</v>
      </c>
      <c r="C128" s="54" t="s">
        <v>746</v>
      </c>
      <c r="D128" s="51">
        <v>160990.99000000634</v>
      </c>
      <c r="E128" s="52">
        <v>0.12704195904019433</v>
      </c>
      <c r="F128" s="51">
        <v>160990.99000000634</v>
      </c>
      <c r="G128" s="52">
        <v>0.12704195904019433</v>
      </c>
      <c r="H128" s="53">
        <v>11147</v>
      </c>
      <c r="I128" s="52">
        <v>3.3948613301178002E-2</v>
      </c>
      <c r="J128" s="53">
        <v>11147</v>
      </c>
      <c r="K128" s="52">
        <v>3.3948613301178002E-2</v>
      </c>
      <c r="L128" s="53">
        <v>6544</v>
      </c>
      <c r="M128" s="52">
        <v>3.2013877937233877E-2</v>
      </c>
      <c r="N128" s="53">
        <v>6544</v>
      </c>
      <c r="O128" s="52">
        <v>3.2013877937233877E-2</v>
      </c>
      <c r="P128" s="51">
        <f t="shared" si="2"/>
        <v>1.7033924205378974</v>
      </c>
      <c r="Q128" s="50">
        <f t="shared" si="3"/>
        <v>24.601312652812705</v>
      </c>
      <c r="R128" s="39" t="s">
        <v>54</v>
      </c>
    </row>
    <row r="129" spans="1:18" x14ac:dyDescent="0.35">
      <c r="A129" s="54">
        <v>1240101</v>
      </c>
      <c r="B129" s="54">
        <v>102945</v>
      </c>
      <c r="C129" s="54" t="s">
        <v>745</v>
      </c>
      <c r="D129" s="51">
        <v>160748.56000000786</v>
      </c>
      <c r="E129" s="52">
        <v>-0.1567675270914575</v>
      </c>
      <c r="F129" s="51">
        <v>160748.56000000786</v>
      </c>
      <c r="G129" s="52">
        <v>-0.1567675270914575</v>
      </c>
      <c r="H129" s="53">
        <v>10309</v>
      </c>
      <c r="I129" s="52">
        <v>-0.25003637421795433</v>
      </c>
      <c r="J129" s="53">
        <v>10309</v>
      </c>
      <c r="K129" s="52">
        <v>-0.25003637421795433</v>
      </c>
      <c r="L129" s="53">
        <v>6734</v>
      </c>
      <c r="M129" s="52">
        <v>-0.24894044166852555</v>
      </c>
      <c r="N129" s="53">
        <v>6734</v>
      </c>
      <c r="O129" s="52">
        <v>-0.24894044166852555</v>
      </c>
      <c r="P129" s="51">
        <f t="shared" si="2"/>
        <v>1.5308880308880308</v>
      </c>
      <c r="Q129" s="50">
        <f t="shared" si="3"/>
        <v>23.871185031186197</v>
      </c>
      <c r="R129" s="39" t="s">
        <v>54</v>
      </c>
    </row>
    <row r="130" spans="1:18" x14ac:dyDescent="0.35">
      <c r="A130" s="54">
        <v>1230036</v>
      </c>
      <c r="B130" s="54">
        <v>103401</v>
      </c>
      <c r="C130" s="54" t="s">
        <v>744</v>
      </c>
      <c r="D130" s="51">
        <v>160160.3600000068</v>
      </c>
      <c r="E130" s="52">
        <v>0.1276875901203145</v>
      </c>
      <c r="F130" s="51">
        <v>160160.3600000068</v>
      </c>
      <c r="G130" s="52">
        <v>0.1276875901203145</v>
      </c>
      <c r="H130" s="53">
        <v>10369</v>
      </c>
      <c r="I130" s="52">
        <v>2.6107135950493134E-3</v>
      </c>
      <c r="J130" s="53">
        <v>10369</v>
      </c>
      <c r="K130" s="52">
        <v>2.6107135950493134E-3</v>
      </c>
      <c r="L130" s="53">
        <v>7422</v>
      </c>
      <c r="M130" s="52">
        <v>-2.148978246539222E-2</v>
      </c>
      <c r="N130" s="53">
        <v>7422</v>
      </c>
      <c r="O130" s="52">
        <v>-2.148978246539222E-2</v>
      </c>
      <c r="P130" s="51">
        <f t="shared" si="2"/>
        <v>1.3970627863109675</v>
      </c>
      <c r="Q130" s="50">
        <f t="shared" si="3"/>
        <v>21.57913769873441</v>
      </c>
      <c r="R130" s="39" t="s">
        <v>51</v>
      </c>
    </row>
    <row r="131" spans="1:18" x14ac:dyDescent="0.35">
      <c r="A131" s="54">
        <v>1240054</v>
      </c>
      <c r="B131" s="54">
        <v>104841</v>
      </c>
      <c r="C131" s="54" t="s">
        <v>743</v>
      </c>
      <c r="D131" s="51">
        <v>159284.52000000799</v>
      </c>
      <c r="E131" s="52">
        <v>-6.7100664174058744E-2</v>
      </c>
      <c r="F131" s="51">
        <v>159284.52000000799</v>
      </c>
      <c r="G131" s="52">
        <v>-6.7100664174058744E-2</v>
      </c>
      <c r="H131" s="53">
        <v>10771</v>
      </c>
      <c r="I131" s="52">
        <v>-0.14713521046463757</v>
      </c>
      <c r="J131" s="53">
        <v>10771</v>
      </c>
      <c r="K131" s="52">
        <v>-0.14713521046463757</v>
      </c>
      <c r="L131" s="53">
        <v>7063</v>
      </c>
      <c r="M131" s="52">
        <v>-0.14127659574468085</v>
      </c>
      <c r="N131" s="53">
        <v>7063</v>
      </c>
      <c r="O131" s="52">
        <v>-0.14127659574468085</v>
      </c>
      <c r="P131" s="51">
        <f t="shared" si="2"/>
        <v>1.5249893812827411</v>
      </c>
      <c r="Q131" s="50">
        <f t="shared" si="3"/>
        <v>22.551963754779553</v>
      </c>
      <c r="R131" s="39" t="s">
        <v>54</v>
      </c>
    </row>
    <row r="132" spans="1:18" x14ac:dyDescent="0.35">
      <c r="A132" s="54">
        <v>4240001</v>
      </c>
      <c r="B132" s="54">
        <v>104569</v>
      </c>
      <c r="C132" s="54" t="s">
        <v>742</v>
      </c>
      <c r="D132" s="51">
        <v>158286.4700000076</v>
      </c>
      <c r="E132" s="52">
        <v>-6.6421501248204451E-2</v>
      </c>
      <c r="F132" s="51">
        <v>158286.4700000076</v>
      </c>
      <c r="G132" s="52">
        <v>-6.6421501248204451E-2</v>
      </c>
      <c r="H132" s="53">
        <v>10275</v>
      </c>
      <c r="I132" s="52">
        <v>-0.12679527492139034</v>
      </c>
      <c r="J132" s="53">
        <v>10275</v>
      </c>
      <c r="K132" s="52">
        <v>-0.12679527492139034</v>
      </c>
      <c r="L132" s="53">
        <v>7265</v>
      </c>
      <c r="M132" s="52">
        <v>-0.12868793475653634</v>
      </c>
      <c r="N132" s="53">
        <v>7265</v>
      </c>
      <c r="O132" s="52">
        <v>-0.12868793475653634</v>
      </c>
      <c r="P132" s="51">
        <f t="shared" si="2"/>
        <v>1.4143152099105298</v>
      </c>
      <c r="Q132" s="50">
        <f t="shared" si="3"/>
        <v>21.787538885066429</v>
      </c>
      <c r="R132" s="39" t="s">
        <v>51</v>
      </c>
    </row>
    <row r="133" spans="1:18" x14ac:dyDescent="0.35">
      <c r="A133" s="54">
        <v>1200008</v>
      </c>
      <c r="B133" s="54">
        <v>103204</v>
      </c>
      <c r="C133" s="54" t="s">
        <v>741</v>
      </c>
      <c r="D133" s="51">
        <v>158233.62000000541</v>
      </c>
      <c r="E133" s="52">
        <v>0.14592723184557266</v>
      </c>
      <c r="F133" s="51">
        <v>158233.62000000541</v>
      </c>
      <c r="G133" s="52">
        <v>0.14592723184557266</v>
      </c>
      <c r="H133" s="53">
        <v>9591.99</v>
      </c>
      <c r="I133" s="52">
        <v>5.4412443662745939E-2</v>
      </c>
      <c r="J133" s="53">
        <v>9591.99</v>
      </c>
      <c r="K133" s="52">
        <v>5.4412443662745939E-2</v>
      </c>
      <c r="L133" s="53">
        <v>5583</v>
      </c>
      <c r="M133" s="52">
        <v>8.1348053457292277E-2</v>
      </c>
      <c r="N133" s="53">
        <v>5583</v>
      </c>
      <c r="O133" s="52">
        <v>8.1348053457292277E-2</v>
      </c>
      <c r="P133" s="51">
        <f t="shared" ref="P133:P196" si="4">H133/L133</f>
        <v>1.7180709296077377</v>
      </c>
      <c r="Q133" s="50">
        <f t="shared" ref="Q133:Q196" si="5">D133/L133</f>
        <v>28.342041912950997</v>
      </c>
      <c r="R133" s="39" t="s">
        <v>54</v>
      </c>
    </row>
    <row r="134" spans="1:18" x14ac:dyDescent="0.35">
      <c r="A134" s="54">
        <v>1140008</v>
      </c>
      <c r="B134" s="54">
        <v>107832</v>
      </c>
      <c r="C134" s="54" t="s">
        <v>740</v>
      </c>
      <c r="D134" s="51">
        <v>158070.18999999989</v>
      </c>
      <c r="E134" s="52"/>
      <c r="F134" s="51"/>
      <c r="G134" s="52"/>
      <c r="H134" s="53">
        <v>7188</v>
      </c>
      <c r="I134" s="52" t="s">
        <v>52</v>
      </c>
      <c r="J134" s="53"/>
      <c r="K134" s="52"/>
      <c r="L134" s="53">
        <v>5093</v>
      </c>
      <c r="M134" s="52" t="s">
        <v>52</v>
      </c>
      <c r="N134" s="53"/>
      <c r="O134" s="52"/>
      <c r="P134" s="51">
        <f t="shared" si="4"/>
        <v>1.4113489102689967</v>
      </c>
      <c r="Q134" s="50">
        <f t="shared" si="5"/>
        <v>31.036754368741388</v>
      </c>
      <c r="R134" s="39" t="s">
        <v>51</v>
      </c>
    </row>
    <row r="135" spans="1:18" x14ac:dyDescent="0.35">
      <c r="A135" s="54">
        <v>1230054</v>
      </c>
      <c r="B135" s="54">
        <v>104610</v>
      </c>
      <c r="C135" s="54" t="s">
        <v>739</v>
      </c>
      <c r="D135" s="51">
        <v>157987.00000000646</v>
      </c>
      <c r="E135" s="52">
        <v>0.21629638685599692</v>
      </c>
      <c r="F135" s="51">
        <v>157987.00000000646</v>
      </c>
      <c r="G135" s="52">
        <v>0.21629638685599692</v>
      </c>
      <c r="H135" s="53">
        <v>10550</v>
      </c>
      <c r="I135" s="52">
        <v>8.5726047133889066E-2</v>
      </c>
      <c r="J135" s="53">
        <v>10550</v>
      </c>
      <c r="K135" s="52">
        <v>8.5726047133889066E-2</v>
      </c>
      <c r="L135" s="53">
        <v>6933</v>
      </c>
      <c r="M135" s="52">
        <v>9.6126482213438738E-2</v>
      </c>
      <c r="N135" s="53">
        <v>6933</v>
      </c>
      <c r="O135" s="52">
        <v>9.6126482213438738E-2</v>
      </c>
      <c r="P135" s="51">
        <f t="shared" si="4"/>
        <v>1.5217077744122314</v>
      </c>
      <c r="Q135" s="50">
        <f t="shared" si="5"/>
        <v>22.787682100101897</v>
      </c>
      <c r="R135" s="39" t="s">
        <v>54</v>
      </c>
    </row>
    <row r="136" spans="1:18" x14ac:dyDescent="0.35">
      <c r="A136" s="54">
        <v>1210020</v>
      </c>
      <c r="B136" s="54">
        <v>104498</v>
      </c>
      <c r="C136" s="54" t="s">
        <v>738</v>
      </c>
      <c r="D136" s="51">
        <v>156148.97000000282</v>
      </c>
      <c r="E136" s="52">
        <v>-1.2788316394355747E-2</v>
      </c>
      <c r="F136" s="51">
        <v>156148.97000000282</v>
      </c>
      <c r="G136" s="52">
        <v>-1.2788316394355747E-2</v>
      </c>
      <c r="H136" s="53">
        <v>8849</v>
      </c>
      <c r="I136" s="52">
        <v>-0.12238421104829912</v>
      </c>
      <c r="J136" s="53">
        <v>8849</v>
      </c>
      <c r="K136" s="52">
        <v>-0.12238421104829912</v>
      </c>
      <c r="L136" s="53">
        <v>6150</v>
      </c>
      <c r="M136" s="52">
        <v>-0.11152845998266397</v>
      </c>
      <c r="N136" s="53">
        <v>6150</v>
      </c>
      <c r="O136" s="52">
        <v>-0.11152845998266397</v>
      </c>
      <c r="P136" s="51">
        <f t="shared" si="4"/>
        <v>1.4388617886178863</v>
      </c>
      <c r="Q136" s="50">
        <f t="shared" si="5"/>
        <v>25.390076422764686</v>
      </c>
      <c r="R136" s="39" t="s">
        <v>51</v>
      </c>
    </row>
    <row r="137" spans="1:18" x14ac:dyDescent="0.35">
      <c r="A137" s="54">
        <v>1240024</v>
      </c>
      <c r="B137" s="54">
        <v>104586</v>
      </c>
      <c r="C137" s="54" t="s">
        <v>737</v>
      </c>
      <c r="D137" s="51">
        <v>155888.36000000575</v>
      </c>
      <c r="E137" s="52">
        <v>1.1402702488597249</v>
      </c>
      <c r="F137" s="51">
        <v>112798.16000000415</v>
      </c>
      <c r="G137" s="52">
        <v>0.54866306871224424</v>
      </c>
      <c r="H137" s="53">
        <v>10114.999900000001</v>
      </c>
      <c r="I137" s="52">
        <v>0.93959729626078636</v>
      </c>
      <c r="J137" s="53">
        <v>7350.9999000000007</v>
      </c>
      <c r="K137" s="52">
        <v>0.4095877085330778</v>
      </c>
      <c r="L137" s="53">
        <v>6086</v>
      </c>
      <c r="M137" s="52">
        <v>0.90365968095089144</v>
      </c>
      <c r="N137" s="53">
        <v>4408</v>
      </c>
      <c r="O137" s="52">
        <v>0.37879261807944947</v>
      </c>
      <c r="P137" s="51">
        <f t="shared" si="4"/>
        <v>1.6620111567532041</v>
      </c>
      <c r="Q137" s="50">
        <f t="shared" si="5"/>
        <v>25.614255668748889</v>
      </c>
      <c r="R137" s="39" t="s">
        <v>54</v>
      </c>
    </row>
    <row r="138" spans="1:18" x14ac:dyDescent="0.35">
      <c r="A138" s="54">
        <v>1260032</v>
      </c>
      <c r="B138" s="54">
        <v>107337</v>
      </c>
      <c r="C138" s="54" t="s">
        <v>736</v>
      </c>
      <c r="D138" s="51">
        <v>155400.86999999988</v>
      </c>
      <c r="E138" s="52">
        <v>2.6374241095733888</v>
      </c>
      <c r="F138" s="51">
        <v>72619.880000000208</v>
      </c>
      <c r="G138" s="52">
        <v>0.699792944185752</v>
      </c>
      <c r="H138" s="53">
        <v>7026</v>
      </c>
      <c r="I138" s="52">
        <v>2.6920651602732528</v>
      </c>
      <c r="J138" s="53">
        <v>3250</v>
      </c>
      <c r="K138" s="52">
        <v>0.7078297425118234</v>
      </c>
      <c r="L138" s="53">
        <v>5360</v>
      </c>
      <c r="M138" s="52">
        <v>2.7561317449194114</v>
      </c>
      <c r="N138" s="53">
        <v>2515</v>
      </c>
      <c r="O138" s="52">
        <v>0.76243868255080594</v>
      </c>
      <c r="P138" s="51">
        <f t="shared" si="4"/>
        <v>1.3108208955223881</v>
      </c>
      <c r="Q138" s="50">
        <f t="shared" si="5"/>
        <v>28.992699626865647</v>
      </c>
      <c r="R138" s="39" t="s">
        <v>51</v>
      </c>
    </row>
    <row r="139" spans="1:18" x14ac:dyDescent="0.35">
      <c r="A139" s="54">
        <v>1230089</v>
      </c>
      <c r="B139" s="54">
        <v>104525</v>
      </c>
      <c r="C139" s="54" t="s">
        <v>735</v>
      </c>
      <c r="D139" s="51">
        <v>155055.17000000647</v>
      </c>
      <c r="E139" s="52">
        <v>-2.8259015331098876E-2</v>
      </c>
      <c r="F139" s="51">
        <v>155055.17000000647</v>
      </c>
      <c r="G139" s="52">
        <v>-2.8259015331098876E-2</v>
      </c>
      <c r="H139" s="53">
        <v>10804.01</v>
      </c>
      <c r="I139" s="52">
        <v>-0.11246118458884415</v>
      </c>
      <c r="J139" s="53">
        <v>10804.01</v>
      </c>
      <c r="K139" s="52">
        <v>-0.11246118458884415</v>
      </c>
      <c r="L139" s="53">
        <v>8524</v>
      </c>
      <c r="M139" s="52">
        <v>-9.9038156643060982E-2</v>
      </c>
      <c r="N139" s="53">
        <v>8524</v>
      </c>
      <c r="O139" s="52">
        <v>-9.9038156643060982E-2</v>
      </c>
      <c r="P139" s="51">
        <f t="shared" si="4"/>
        <v>1.2674812294697326</v>
      </c>
      <c r="Q139" s="50">
        <f t="shared" si="5"/>
        <v>18.190423510089918</v>
      </c>
      <c r="R139" s="39" t="s">
        <v>51</v>
      </c>
    </row>
    <row r="140" spans="1:18" x14ac:dyDescent="0.35">
      <c r="A140" s="54">
        <v>1110001</v>
      </c>
      <c r="B140" s="54">
        <v>100333</v>
      </c>
      <c r="C140" s="54" t="s">
        <v>734</v>
      </c>
      <c r="D140" s="51">
        <v>153223.02000000555</v>
      </c>
      <c r="E140" s="52">
        <v>6.0353858616856264E-2</v>
      </c>
      <c r="F140" s="51">
        <v>153223.02000000555</v>
      </c>
      <c r="G140" s="52">
        <v>6.0353858616856264E-2</v>
      </c>
      <c r="H140" s="53">
        <v>9568</v>
      </c>
      <c r="I140" s="52">
        <v>-3.2166700384381956E-2</v>
      </c>
      <c r="J140" s="53">
        <v>9568</v>
      </c>
      <c r="K140" s="52">
        <v>-3.2166700384381956E-2</v>
      </c>
      <c r="L140" s="53">
        <v>5698</v>
      </c>
      <c r="M140" s="52">
        <v>-5.2622346956674273E-4</v>
      </c>
      <c r="N140" s="53">
        <v>5698</v>
      </c>
      <c r="O140" s="52">
        <v>-5.2622346956674273E-4</v>
      </c>
      <c r="P140" s="51">
        <f t="shared" si="4"/>
        <v>1.6791856791856792</v>
      </c>
      <c r="Q140" s="50">
        <f t="shared" si="5"/>
        <v>26.890666900667874</v>
      </c>
      <c r="R140" s="39" t="s">
        <v>54</v>
      </c>
    </row>
    <row r="141" spans="1:18" x14ac:dyDescent="0.35">
      <c r="A141" s="54">
        <v>1240001</v>
      </c>
      <c r="B141" s="54">
        <v>104562</v>
      </c>
      <c r="C141" s="54" t="s">
        <v>733</v>
      </c>
      <c r="D141" s="51">
        <v>152958.08000000601</v>
      </c>
      <c r="E141" s="52">
        <v>0.1356947259400719</v>
      </c>
      <c r="F141" s="51">
        <v>152958.08000000601</v>
      </c>
      <c r="G141" s="52">
        <v>0.1356947259400719</v>
      </c>
      <c r="H141" s="53">
        <v>9683</v>
      </c>
      <c r="I141" s="52">
        <v>2.260006336466364E-2</v>
      </c>
      <c r="J141" s="53">
        <v>9683</v>
      </c>
      <c r="K141" s="52">
        <v>2.260006336466364E-2</v>
      </c>
      <c r="L141" s="53">
        <v>7134</v>
      </c>
      <c r="M141" s="52">
        <v>2.2795698924731184E-2</v>
      </c>
      <c r="N141" s="53">
        <v>7134</v>
      </c>
      <c r="O141" s="52">
        <v>2.2795698924731184E-2</v>
      </c>
      <c r="P141" s="51">
        <f t="shared" si="4"/>
        <v>1.3573030557891785</v>
      </c>
      <c r="Q141" s="50">
        <f t="shared" si="5"/>
        <v>21.440717689936363</v>
      </c>
      <c r="R141" s="39" t="s">
        <v>51</v>
      </c>
    </row>
    <row r="142" spans="1:18" x14ac:dyDescent="0.35">
      <c r="A142" s="54">
        <v>1240149</v>
      </c>
      <c r="B142" s="54">
        <v>100982</v>
      </c>
      <c r="C142" s="54" t="s">
        <v>732</v>
      </c>
      <c r="D142" s="51">
        <v>152814.91000000693</v>
      </c>
      <c r="E142" s="52">
        <v>0.10610348137439775</v>
      </c>
      <c r="F142" s="51">
        <v>152814.91000000693</v>
      </c>
      <c r="G142" s="52">
        <v>0.10610348137439775</v>
      </c>
      <c r="H142" s="53">
        <v>10518</v>
      </c>
      <c r="I142" s="52">
        <v>1.0568793235972328E-2</v>
      </c>
      <c r="J142" s="53">
        <v>10518</v>
      </c>
      <c r="K142" s="52">
        <v>1.0568793235972328E-2</v>
      </c>
      <c r="L142" s="53">
        <v>7604</v>
      </c>
      <c r="M142" s="52">
        <v>4.5367060764366238E-2</v>
      </c>
      <c r="N142" s="53">
        <v>7604</v>
      </c>
      <c r="O142" s="52">
        <v>4.5367060764366238E-2</v>
      </c>
      <c r="P142" s="51">
        <f t="shared" si="4"/>
        <v>1.3832193582325092</v>
      </c>
      <c r="Q142" s="50">
        <f t="shared" si="5"/>
        <v>20.096647816939363</v>
      </c>
      <c r="R142" s="39" t="s">
        <v>51</v>
      </c>
    </row>
    <row r="143" spans="1:18" x14ac:dyDescent="0.35">
      <c r="A143" s="54">
        <v>1150001</v>
      </c>
      <c r="B143" s="54">
        <v>108267</v>
      </c>
      <c r="C143" s="54" t="s">
        <v>180</v>
      </c>
      <c r="D143" s="51">
        <v>152621.35000000626</v>
      </c>
      <c r="E143" s="52"/>
      <c r="F143" s="51">
        <v>152621.35000000626</v>
      </c>
      <c r="G143" s="52"/>
      <c r="H143" s="53">
        <v>9752</v>
      </c>
      <c r="I143" s="52" t="s">
        <v>52</v>
      </c>
      <c r="J143" s="53">
        <v>9752</v>
      </c>
      <c r="K143" s="52"/>
      <c r="L143" s="53">
        <v>5715</v>
      </c>
      <c r="M143" s="52" t="s">
        <v>52</v>
      </c>
      <c r="N143" s="53">
        <v>5715</v>
      </c>
      <c r="O143" s="52"/>
      <c r="P143" s="51">
        <f t="shared" si="4"/>
        <v>1.7063867016622922</v>
      </c>
      <c r="Q143" s="50">
        <f t="shared" si="5"/>
        <v>26.705398075241689</v>
      </c>
      <c r="R143" s="39" t="s">
        <v>54</v>
      </c>
    </row>
    <row r="144" spans="1:18" x14ac:dyDescent="0.35">
      <c r="A144" s="54">
        <v>1260007</v>
      </c>
      <c r="B144" s="54">
        <v>105225</v>
      </c>
      <c r="C144" s="54" t="s">
        <v>731</v>
      </c>
      <c r="D144" s="51">
        <v>152617.07000000676</v>
      </c>
      <c r="E144" s="52">
        <v>-7.6433634049833749E-2</v>
      </c>
      <c r="F144" s="51">
        <v>152617.07000000676</v>
      </c>
      <c r="G144" s="52">
        <v>-7.6433634049833749E-2</v>
      </c>
      <c r="H144" s="53">
        <v>8697</v>
      </c>
      <c r="I144" s="52">
        <v>-0.17157226953191981</v>
      </c>
      <c r="J144" s="53">
        <v>8697</v>
      </c>
      <c r="K144" s="52">
        <v>-0.17157226953191981</v>
      </c>
      <c r="L144" s="53">
        <v>5723</v>
      </c>
      <c r="M144" s="52">
        <v>-0.17843812805053116</v>
      </c>
      <c r="N144" s="53">
        <v>5723</v>
      </c>
      <c r="O144" s="52">
        <v>-0.17843812805053116</v>
      </c>
      <c r="P144" s="51">
        <f t="shared" si="4"/>
        <v>1.5196575222785254</v>
      </c>
      <c r="Q144" s="50">
        <f t="shared" si="5"/>
        <v>26.667319587630047</v>
      </c>
      <c r="R144" s="39" t="s">
        <v>54</v>
      </c>
    </row>
    <row r="145" spans="1:18" x14ac:dyDescent="0.35">
      <c r="A145" s="54">
        <v>1240110</v>
      </c>
      <c r="B145" s="54">
        <v>104580</v>
      </c>
      <c r="C145" s="54" t="s">
        <v>730</v>
      </c>
      <c r="D145" s="51">
        <v>150861.07000000606</v>
      </c>
      <c r="E145" s="52">
        <v>0.40666963302840159</v>
      </c>
      <c r="F145" s="51">
        <v>150861.07000000606</v>
      </c>
      <c r="G145" s="52">
        <v>0.40666963302840159</v>
      </c>
      <c r="H145" s="53">
        <v>9623</v>
      </c>
      <c r="I145" s="52">
        <v>0.35059649122807018</v>
      </c>
      <c r="J145" s="53">
        <v>9623</v>
      </c>
      <c r="K145" s="52">
        <v>0.35059649122807018</v>
      </c>
      <c r="L145" s="53">
        <v>6256</v>
      </c>
      <c r="M145" s="52">
        <v>0.40363473188243215</v>
      </c>
      <c r="N145" s="53">
        <v>6256</v>
      </c>
      <c r="O145" s="52">
        <v>0.40363473188243215</v>
      </c>
      <c r="P145" s="51">
        <f t="shared" si="4"/>
        <v>1.5382033248081841</v>
      </c>
      <c r="Q145" s="50">
        <f t="shared" si="5"/>
        <v>24.114621163683832</v>
      </c>
      <c r="R145" s="39" t="s">
        <v>54</v>
      </c>
    </row>
    <row r="146" spans="1:18" x14ac:dyDescent="0.35">
      <c r="A146" s="54">
        <v>1240107</v>
      </c>
      <c r="B146" s="54">
        <v>100658</v>
      </c>
      <c r="C146" s="54" t="s">
        <v>729</v>
      </c>
      <c r="D146" s="51">
        <v>150217.16000000687</v>
      </c>
      <c r="E146" s="52">
        <v>0.13678020406131536</v>
      </c>
      <c r="F146" s="51">
        <v>150217.16000000687</v>
      </c>
      <c r="G146" s="52">
        <v>0.13678020406131536</v>
      </c>
      <c r="H146" s="53">
        <v>10039</v>
      </c>
      <c r="I146" s="52">
        <v>2.9324310468573773E-2</v>
      </c>
      <c r="J146" s="53">
        <v>10039</v>
      </c>
      <c r="K146" s="52">
        <v>2.9324310468573773E-2</v>
      </c>
      <c r="L146" s="53">
        <v>6779</v>
      </c>
      <c r="M146" s="52">
        <v>6.5712938217261443E-2</v>
      </c>
      <c r="N146" s="53">
        <v>6779</v>
      </c>
      <c r="O146" s="52">
        <v>6.5712938217261443E-2</v>
      </c>
      <c r="P146" s="51">
        <f t="shared" si="4"/>
        <v>1.480896887446526</v>
      </c>
      <c r="Q146" s="50">
        <f t="shared" si="5"/>
        <v>22.159191621184078</v>
      </c>
      <c r="R146" s="39" t="s">
        <v>51</v>
      </c>
    </row>
    <row r="147" spans="1:18" x14ac:dyDescent="0.35">
      <c r="A147" s="54">
        <v>1230044</v>
      </c>
      <c r="B147" s="54">
        <v>100972</v>
      </c>
      <c r="C147" s="54" t="s">
        <v>728</v>
      </c>
      <c r="D147" s="51">
        <v>149526.71000000578</v>
      </c>
      <c r="E147" s="52">
        <v>0.2664150155254596</v>
      </c>
      <c r="F147" s="51">
        <v>149526.71000000578</v>
      </c>
      <c r="G147" s="52">
        <v>0.2664150155254596</v>
      </c>
      <c r="H147" s="53">
        <v>11216</v>
      </c>
      <c r="I147" s="52">
        <v>0.15676567656765678</v>
      </c>
      <c r="J147" s="53">
        <v>11216</v>
      </c>
      <c r="K147" s="52">
        <v>0.15676567656765678</v>
      </c>
      <c r="L147" s="53">
        <v>8090</v>
      </c>
      <c r="M147" s="52">
        <v>0.1672197374116289</v>
      </c>
      <c r="N147" s="53">
        <v>8090</v>
      </c>
      <c r="O147" s="52">
        <v>0.1672197374116289</v>
      </c>
      <c r="P147" s="51">
        <f t="shared" si="4"/>
        <v>1.3864029666254636</v>
      </c>
      <c r="Q147" s="50">
        <f t="shared" si="5"/>
        <v>18.482906056861037</v>
      </c>
      <c r="R147" s="39" t="s">
        <v>51</v>
      </c>
    </row>
    <row r="148" spans="1:18" x14ac:dyDescent="0.35">
      <c r="A148" s="54">
        <v>1240169</v>
      </c>
      <c r="B148" s="54">
        <v>100752</v>
      </c>
      <c r="C148" s="54" t="s">
        <v>727</v>
      </c>
      <c r="D148" s="51">
        <v>149521.20000000094</v>
      </c>
      <c r="E148" s="52">
        <v>0.31171799903552194</v>
      </c>
      <c r="F148" s="51">
        <v>149521.20000000094</v>
      </c>
      <c r="G148" s="52">
        <v>0.31171799903552194</v>
      </c>
      <c r="H148" s="53">
        <v>10051</v>
      </c>
      <c r="I148" s="52">
        <v>0.19243089334440622</v>
      </c>
      <c r="J148" s="53">
        <v>10051</v>
      </c>
      <c r="K148" s="52">
        <v>0.19243089334440622</v>
      </c>
      <c r="L148" s="53">
        <v>5843</v>
      </c>
      <c r="M148" s="52">
        <v>0.26089771255934396</v>
      </c>
      <c r="N148" s="53">
        <v>5843</v>
      </c>
      <c r="O148" s="52">
        <v>0.26089771255934396</v>
      </c>
      <c r="P148" s="51">
        <f t="shared" si="4"/>
        <v>1.7201779907581722</v>
      </c>
      <c r="Q148" s="50">
        <f t="shared" si="5"/>
        <v>25.589799760397216</v>
      </c>
      <c r="R148" s="39" t="s">
        <v>54</v>
      </c>
    </row>
    <row r="149" spans="1:18" x14ac:dyDescent="0.35">
      <c r="A149" s="54">
        <v>1240186</v>
      </c>
      <c r="B149" s="54">
        <v>106946</v>
      </c>
      <c r="C149" s="54" t="s">
        <v>726</v>
      </c>
      <c r="D149" s="51">
        <v>149417.80000000668</v>
      </c>
      <c r="E149" s="52">
        <v>0.13168528385295206</v>
      </c>
      <c r="F149" s="51">
        <v>149417.80000000668</v>
      </c>
      <c r="G149" s="52">
        <v>0.13168528385295206</v>
      </c>
      <c r="H149" s="53">
        <v>8581</v>
      </c>
      <c r="I149" s="52">
        <v>4.6636353037192489E-4</v>
      </c>
      <c r="J149" s="53">
        <v>8581</v>
      </c>
      <c r="K149" s="52">
        <v>4.6636353037192489E-4</v>
      </c>
      <c r="L149" s="53">
        <v>5478</v>
      </c>
      <c r="M149" s="52">
        <v>2.7457440966501922E-3</v>
      </c>
      <c r="N149" s="53">
        <v>5478</v>
      </c>
      <c r="O149" s="52">
        <v>2.7457440966501922E-3</v>
      </c>
      <c r="P149" s="51">
        <f t="shared" si="4"/>
        <v>1.5664476086162833</v>
      </c>
      <c r="Q149" s="50">
        <f t="shared" si="5"/>
        <v>27.275976633809179</v>
      </c>
      <c r="R149" s="39" t="s">
        <v>54</v>
      </c>
    </row>
    <row r="150" spans="1:18" x14ac:dyDescent="0.35">
      <c r="A150" s="54">
        <v>1160001</v>
      </c>
      <c r="B150" s="54">
        <v>106530</v>
      </c>
      <c r="C150" s="54" t="s">
        <v>725</v>
      </c>
      <c r="D150" s="51">
        <v>148790.81000000669</v>
      </c>
      <c r="E150" s="52">
        <v>-0.14619232195860674</v>
      </c>
      <c r="F150" s="51">
        <v>148790.81000000669</v>
      </c>
      <c r="G150" s="52">
        <v>-0.14619232195860674</v>
      </c>
      <c r="H150" s="53">
        <v>9776</v>
      </c>
      <c r="I150" s="52">
        <v>-0.20854922279792745</v>
      </c>
      <c r="J150" s="53">
        <v>9776</v>
      </c>
      <c r="K150" s="52">
        <v>-0.20854922279792745</v>
      </c>
      <c r="L150" s="53">
        <v>6240</v>
      </c>
      <c r="M150" s="52">
        <v>-0.21558768070395978</v>
      </c>
      <c r="N150" s="53">
        <v>6240</v>
      </c>
      <c r="O150" s="52">
        <v>-0.21558768070395978</v>
      </c>
      <c r="P150" s="51">
        <f t="shared" si="4"/>
        <v>1.5666666666666667</v>
      </c>
      <c r="Q150" s="50">
        <f t="shared" si="5"/>
        <v>23.844681089744661</v>
      </c>
      <c r="R150" s="39" t="s">
        <v>54</v>
      </c>
    </row>
    <row r="151" spans="1:18" x14ac:dyDescent="0.35">
      <c r="A151" s="54">
        <v>1250002</v>
      </c>
      <c r="B151" s="54">
        <v>100929</v>
      </c>
      <c r="C151" s="54" t="s">
        <v>724</v>
      </c>
      <c r="D151" s="51">
        <v>147853.85000000603</v>
      </c>
      <c r="E151" s="52">
        <v>8.4006442137182349E-2</v>
      </c>
      <c r="F151" s="51">
        <v>147853.85000000603</v>
      </c>
      <c r="G151" s="52">
        <v>8.4006442137182349E-2</v>
      </c>
      <c r="H151" s="53">
        <v>9091.01</v>
      </c>
      <c r="I151" s="52">
        <v>-1.8779276848353996E-2</v>
      </c>
      <c r="J151" s="53">
        <v>9091.01</v>
      </c>
      <c r="K151" s="52">
        <v>-1.8779276848353996E-2</v>
      </c>
      <c r="L151" s="53">
        <v>5662</v>
      </c>
      <c r="M151" s="52">
        <v>-3.312841530054645E-2</v>
      </c>
      <c r="N151" s="53">
        <v>5662</v>
      </c>
      <c r="O151" s="52">
        <v>-3.312841530054645E-2</v>
      </c>
      <c r="P151" s="51">
        <f t="shared" si="4"/>
        <v>1.6056181561285765</v>
      </c>
      <c r="Q151" s="50">
        <f t="shared" si="5"/>
        <v>26.113361003180152</v>
      </c>
      <c r="R151" s="39" t="s">
        <v>54</v>
      </c>
    </row>
    <row r="152" spans="1:18" x14ac:dyDescent="0.35">
      <c r="A152" s="54">
        <v>1240075</v>
      </c>
      <c r="B152" s="54">
        <v>100542</v>
      </c>
      <c r="C152" s="54" t="s">
        <v>723</v>
      </c>
      <c r="D152" s="51">
        <v>147102.21000000715</v>
      </c>
      <c r="E152" s="52">
        <v>4.2192874058408394E-2</v>
      </c>
      <c r="F152" s="51">
        <v>147102.21000000715</v>
      </c>
      <c r="G152" s="52">
        <v>4.2192874058408394E-2</v>
      </c>
      <c r="H152" s="53">
        <v>9433</v>
      </c>
      <c r="I152" s="52">
        <v>-1.9846217788861181E-2</v>
      </c>
      <c r="J152" s="53">
        <v>9433</v>
      </c>
      <c r="K152" s="52">
        <v>-1.9846217788861181E-2</v>
      </c>
      <c r="L152" s="53">
        <v>6274</v>
      </c>
      <c r="M152" s="52">
        <v>2.43265306122449E-2</v>
      </c>
      <c r="N152" s="53">
        <v>6274</v>
      </c>
      <c r="O152" s="52">
        <v>2.43265306122449E-2</v>
      </c>
      <c r="P152" s="51">
        <f t="shared" si="4"/>
        <v>1.5035065349059611</v>
      </c>
      <c r="Q152" s="50">
        <f t="shared" si="5"/>
        <v>23.446319732229384</v>
      </c>
      <c r="R152" s="39" t="s">
        <v>54</v>
      </c>
    </row>
    <row r="153" spans="1:18" x14ac:dyDescent="0.35">
      <c r="A153" s="54">
        <v>1240142</v>
      </c>
      <c r="B153" s="54">
        <v>100689</v>
      </c>
      <c r="C153" s="54" t="s">
        <v>722</v>
      </c>
      <c r="D153" s="51">
        <v>146970.69000000571</v>
      </c>
      <c r="E153" s="52">
        <v>-0.40370013345580441</v>
      </c>
      <c r="F153" s="51">
        <v>146970.69000000571</v>
      </c>
      <c r="G153" s="52">
        <v>-0.40370013345580441</v>
      </c>
      <c r="H153" s="53">
        <v>9728</v>
      </c>
      <c r="I153" s="52">
        <v>-0.46997929606625261</v>
      </c>
      <c r="J153" s="53">
        <v>9728</v>
      </c>
      <c r="K153" s="52">
        <v>-0.46997929606625261</v>
      </c>
      <c r="L153" s="53">
        <v>6083</v>
      </c>
      <c r="M153" s="52">
        <v>-0.46305940506664311</v>
      </c>
      <c r="N153" s="53">
        <v>6083</v>
      </c>
      <c r="O153" s="52">
        <v>-0.46305940506664311</v>
      </c>
      <c r="P153" s="51">
        <f t="shared" si="4"/>
        <v>1.5992109156666119</v>
      </c>
      <c r="Q153" s="50">
        <f t="shared" si="5"/>
        <v>24.160889363801694</v>
      </c>
      <c r="R153" s="39" t="s">
        <v>54</v>
      </c>
    </row>
    <row r="154" spans="1:18" x14ac:dyDescent="0.35">
      <c r="A154" s="54">
        <v>1200002</v>
      </c>
      <c r="B154" s="54">
        <v>100239</v>
      </c>
      <c r="C154" s="54" t="s">
        <v>721</v>
      </c>
      <c r="D154" s="51">
        <v>146968.96000000642</v>
      </c>
      <c r="E154" s="52">
        <v>2.9421403921667227E-2</v>
      </c>
      <c r="F154" s="51">
        <v>146968.96000000642</v>
      </c>
      <c r="G154" s="52">
        <v>2.9421403921667227E-2</v>
      </c>
      <c r="H154" s="53">
        <v>8886</v>
      </c>
      <c r="I154" s="52">
        <v>-4.6975546975546977E-2</v>
      </c>
      <c r="J154" s="53">
        <v>8886</v>
      </c>
      <c r="K154" s="52">
        <v>-4.6975546975546977E-2</v>
      </c>
      <c r="L154" s="53">
        <v>5819</v>
      </c>
      <c r="M154" s="52">
        <v>1.893939393939394E-3</v>
      </c>
      <c r="N154" s="53">
        <v>5819</v>
      </c>
      <c r="O154" s="52">
        <v>1.893939393939394E-3</v>
      </c>
      <c r="P154" s="51">
        <f t="shared" si="4"/>
        <v>1.5270665062725555</v>
      </c>
      <c r="Q154" s="50">
        <f t="shared" si="5"/>
        <v>25.256738271181717</v>
      </c>
      <c r="R154" s="39" t="s">
        <v>54</v>
      </c>
    </row>
    <row r="155" spans="1:18" x14ac:dyDescent="0.35">
      <c r="A155" s="54">
        <v>1210005</v>
      </c>
      <c r="B155" s="54">
        <v>105210</v>
      </c>
      <c r="C155" s="54" t="s">
        <v>720</v>
      </c>
      <c r="D155" s="51">
        <v>146597.82000000111</v>
      </c>
      <c r="E155" s="52">
        <v>-8.5422325934133361E-2</v>
      </c>
      <c r="F155" s="51">
        <v>146597.82000000111</v>
      </c>
      <c r="G155" s="52">
        <v>-8.5422325934133361E-2</v>
      </c>
      <c r="H155" s="53">
        <v>9229</v>
      </c>
      <c r="I155" s="52">
        <v>-0.20019065776930409</v>
      </c>
      <c r="J155" s="53">
        <v>9229</v>
      </c>
      <c r="K155" s="52">
        <v>-0.20019065776930409</v>
      </c>
      <c r="L155" s="53">
        <v>6204</v>
      </c>
      <c r="M155" s="52">
        <v>-0.187426326129666</v>
      </c>
      <c r="N155" s="53">
        <v>6204</v>
      </c>
      <c r="O155" s="52">
        <v>-0.187426326129666</v>
      </c>
      <c r="P155" s="51">
        <f t="shared" si="4"/>
        <v>1.4875886524822695</v>
      </c>
      <c r="Q155" s="50">
        <f t="shared" si="5"/>
        <v>23.629564796905402</v>
      </c>
      <c r="R155" s="39" t="s">
        <v>51</v>
      </c>
    </row>
    <row r="156" spans="1:18" x14ac:dyDescent="0.35">
      <c r="A156" s="54">
        <v>1230003</v>
      </c>
      <c r="B156" s="54">
        <v>104604</v>
      </c>
      <c r="C156" s="54" t="s">
        <v>719</v>
      </c>
      <c r="D156" s="51">
        <v>146099.20000000673</v>
      </c>
      <c r="E156" s="52">
        <v>1.2262470632731031</v>
      </c>
      <c r="F156" s="51">
        <v>146099.20000000673</v>
      </c>
      <c r="G156" s="52">
        <v>1.2262470632731031</v>
      </c>
      <c r="H156" s="53">
        <v>9806</v>
      </c>
      <c r="I156" s="52">
        <v>1.0553343114651017</v>
      </c>
      <c r="J156" s="53">
        <v>9806</v>
      </c>
      <c r="K156" s="52">
        <v>1.0553343114651017</v>
      </c>
      <c r="L156" s="53">
        <v>7372</v>
      </c>
      <c r="M156" s="52">
        <v>1.1232718894009217</v>
      </c>
      <c r="N156" s="53">
        <v>7372</v>
      </c>
      <c r="O156" s="52">
        <v>1.1232718894009217</v>
      </c>
      <c r="P156" s="51">
        <f t="shared" si="4"/>
        <v>1.3301682040151925</v>
      </c>
      <c r="Q156" s="50">
        <f t="shared" si="5"/>
        <v>19.818122626153926</v>
      </c>
      <c r="R156" s="39" t="s">
        <v>51</v>
      </c>
    </row>
    <row r="157" spans="1:18" x14ac:dyDescent="0.35">
      <c r="A157" s="54">
        <v>1240168</v>
      </c>
      <c r="B157" s="54">
        <v>107854</v>
      </c>
      <c r="C157" s="54" t="s">
        <v>718</v>
      </c>
      <c r="D157" s="51">
        <v>144336.20000000685</v>
      </c>
      <c r="E157" s="52"/>
      <c r="F157" s="51">
        <v>144336.20000000685</v>
      </c>
      <c r="G157" s="52"/>
      <c r="H157" s="53">
        <v>9176</v>
      </c>
      <c r="I157" s="52" t="s">
        <v>52</v>
      </c>
      <c r="J157" s="53">
        <v>9176</v>
      </c>
      <c r="K157" s="52"/>
      <c r="L157" s="53">
        <v>6274</v>
      </c>
      <c r="M157" s="52" t="s">
        <v>52</v>
      </c>
      <c r="N157" s="53">
        <v>6274</v>
      </c>
      <c r="O157" s="52"/>
      <c r="P157" s="51">
        <f t="shared" si="4"/>
        <v>1.4625438316863246</v>
      </c>
      <c r="Q157" s="50">
        <f t="shared" si="5"/>
        <v>23.00545106790036</v>
      </c>
      <c r="R157" s="39" t="s">
        <v>51</v>
      </c>
    </row>
    <row r="158" spans="1:18" x14ac:dyDescent="0.35">
      <c r="A158" s="54">
        <v>1200026</v>
      </c>
      <c r="B158" s="54">
        <v>107715</v>
      </c>
      <c r="C158" s="54" t="s">
        <v>717</v>
      </c>
      <c r="D158" s="51">
        <v>144333.95000000612</v>
      </c>
      <c r="E158" s="52"/>
      <c r="F158" s="51"/>
      <c r="G158" s="52"/>
      <c r="H158" s="53">
        <v>8508</v>
      </c>
      <c r="I158" s="52" t="s">
        <v>52</v>
      </c>
      <c r="J158" s="53"/>
      <c r="K158" s="52"/>
      <c r="L158" s="53">
        <v>5089</v>
      </c>
      <c r="M158" s="52" t="s">
        <v>52</v>
      </c>
      <c r="N158" s="53"/>
      <c r="O158" s="52"/>
      <c r="P158" s="51">
        <f t="shared" si="4"/>
        <v>1.6718412261741009</v>
      </c>
      <c r="Q158" s="50">
        <f t="shared" si="5"/>
        <v>28.361947337395584</v>
      </c>
      <c r="R158" s="39" t="s">
        <v>54</v>
      </c>
    </row>
    <row r="159" spans="1:18" x14ac:dyDescent="0.35">
      <c r="A159" s="54">
        <v>1240363</v>
      </c>
      <c r="B159" s="54">
        <v>106737</v>
      </c>
      <c r="C159" s="54" t="s">
        <v>716</v>
      </c>
      <c r="D159" s="51">
        <v>143516.2500000069</v>
      </c>
      <c r="E159" s="52"/>
      <c r="F159" s="51">
        <v>143516.2500000069</v>
      </c>
      <c r="G159" s="52"/>
      <c r="H159" s="53">
        <v>9669</v>
      </c>
      <c r="I159" s="52" t="s">
        <v>52</v>
      </c>
      <c r="J159" s="53">
        <v>9669</v>
      </c>
      <c r="K159" s="52"/>
      <c r="L159" s="53">
        <v>6821</v>
      </c>
      <c r="M159" s="52" t="s">
        <v>52</v>
      </c>
      <c r="N159" s="53">
        <v>6821</v>
      </c>
      <c r="O159" s="52"/>
      <c r="P159" s="51">
        <f t="shared" si="4"/>
        <v>1.4175340859111567</v>
      </c>
      <c r="Q159" s="50">
        <f t="shared" si="5"/>
        <v>21.040353320628487</v>
      </c>
      <c r="R159" s="39" t="s">
        <v>51</v>
      </c>
    </row>
    <row r="160" spans="1:18" x14ac:dyDescent="0.35">
      <c r="A160" s="54">
        <v>1230072</v>
      </c>
      <c r="B160" s="54">
        <v>103447</v>
      </c>
      <c r="C160" s="54" t="s">
        <v>715</v>
      </c>
      <c r="D160" s="51">
        <v>143199.04000000667</v>
      </c>
      <c r="E160" s="52">
        <v>0.11833413330167987</v>
      </c>
      <c r="F160" s="51">
        <v>143199.04000000667</v>
      </c>
      <c r="G160" s="52">
        <v>0.11833413330167987</v>
      </c>
      <c r="H160" s="53">
        <v>9191</v>
      </c>
      <c r="I160" s="52">
        <v>2.4751923291336828E-2</v>
      </c>
      <c r="J160" s="53">
        <v>9191</v>
      </c>
      <c r="K160" s="52">
        <v>2.4751923291336828E-2</v>
      </c>
      <c r="L160" s="53">
        <v>6392</v>
      </c>
      <c r="M160" s="52">
        <v>1.2193190815518607E-2</v>
      </c>
      <c r="N160" s="53">
        <v>6392</v>
      </c>
      <c r="O160" s="52">
        <v>1.2193190815518607E-2</v>
      </c>
      <c r="P160" s="51">
        <f t="shared" si="4"/>
        <v>1.4378911138923653</v>
      </c>
      <c r="Q160" s="50">
        <f t="shared" si="5"/>
        <v>22.402853566959742</v>
      </c>
      <c r="R160" s="39" t="s">
        <v>51</v>
      </c>
    </row>
    <row r="161" spans="1:18" x14ac:dyDescent="0.35">
      <c r="A161" s="54">
        <v>1210002</v>
      </c>
      <c r="B161" s="54">
        <v>101615</v>
      </c>
      <c r="C161" s="54" t="s">
        <v>714</v>
      </c>
      <c r="D161" s="51">
        <v>142984.41000000574</v>
      </c>
      <c r="E161" s="52">
        <v>6.4103362713395255E-3</v>
      </c>
      <c r="F161" s="51">
        <v>142984.41000000574</v>
      </c>
      <c r="G161" s="52">
        <v>6.4103362713395255E-3</v>
      </c>
      <c r="H161" s="53">
        <v>8209</v>
      </c>
      <c r="I161" s="52">
        <v>-8.320303774849229E-2</v>
      </c>
      <c r="J161" s="53">
        <v>8209</v>
      </c>
      <c r="K161" s="52">
        <v>-8.320303774849229E-2</v>
      </c>
      <c r="L161" s="53">
        <v>5573</v>
      </c>
      <c r="M161" s="52">
        <v>-8.0211255982835447E-2</v>
      </c>
      <c r="N161" s="53">
        <v>5573</v>
      </c>
      <c r="O161" s="52">
        <v>-8.0211255982835447E-2</v>
      </c>
      <c r="P161" s="51">
        <f t="shared" si="4"/>
        <v>1.472994796339494</v>
      </c>
      <c r="Q161" s="50">
        <f t="shared" si="5"/>
        <v>25.656631975597655</v>
      </c>
      <c r="R161" s="39" t="s">
        <v>51</v>
      </c>
    </row>
    <row r="162" spans="1:18" x14ac:dyDescent="0.35">
      <c r="A162" s="54">
        <v>1230062</v>
      </c>
      <c r="B162" s="54">
        <v>101029</v>
      </c>
      <c r="C162" s="54" t="s">
        <v>713</v>
      </c>
      <c r="D162" s="51">
        <v>142420.22000000591</v>
      </c>
      <c r="E162" s="52">
        <v>-0.1344497346528897</v>
      </c>
      <c r="F162" s="51">
        <v>142420.22000000591</v>
      </c>
      <c r="G162" s="52">
        <v>-0.1344497346528897</v>
      </c>
      <c r="H162" s="53">
        <v>8846</v>
      </c>
      <c r="I162" s="52">
        <v>-0.23470888485163077</v>
      </c>
      <c r="J162" s="53">
        <v>8846</v>
      </c>
      <c r="K162" s="52">
        <v>-0.23470888485163077</v>
      </c>
      <c r="L162" s="53">
        <v>6005</v>
      </c>
      <c r="M162" s="52">
        <v>-0.2262595026414122</v>
      </c>
      <c r="N162" s="53">
        <v>6005</v>
      </c>
      <c r="O162" s="52">
        <v>-0.2262595026414122</v>
      </c>
      <c r="P162" s="51">
        <f t="shared" si="4"/>
        <v>1.4731057452123231</v>
      </c>
      <c r="Q162" s="50">
        <f t="shared" si="5"/>
        <v>23.716939217319887</v>
      </c>
      <c r="R162" s="39" t="s">
        <v>51</v>
      </c>
    </row>
    <row r="163" spans="1:18" x14ac:dyDescent="0.35">
      <c r="A163" s="54">
        <v>1240414</v>
      </c>
      <c r="B163" s="54">
        <v>106787</v>
      </c>
      <c r="C163" s="54" t="s">
        <v>712</v>
      </c>
      <c r="D163" s="51">
        <v>141287.06000000003</v>
      </c>
      <c r="E163" s="52">
        <v>6.185366431699351E-3</v>
      </c>
      <c r="F163" s="51">
        <v>91417.040000002962</v>
      </c>
      <c r="G163" s="52">
        <v>-0.34896735843675791</v>
      </c>
      <c r="H163" s="53">
        <v>8880</v>
      </c>
      <c r="I163" s="52">
        <v>-8.5290482076637822E-2</v>
      </c>
      <c r="J163" s="53">
        <v>5702</v>
      </c>
      <c r="K163" s="52">
        <v>-0.41264936135146268</v>
      </c>
      <c r="L163" s="53">
        <v>6288</v>
      </c>
      <c r="M163" s="52">
        <v>-6.2891207153502229E-2</v>
      </c>
      <c r="N163" s="53">
        <v>4048</v>
      </c>
      <c r="O163" s="52">
        <v>-0.39672131147540984</v>
      </c>
      <c r="P163" s="51">
        <f t="shared" si="4"/>
        <v>1.4122137404580153</v>
      </c>
      <c r="Q163" s="50">
        <f t="shared" si="5"/>
        <v>22.469316157760819</v>
      </c>
      <c r="R163" s="39" t="s">
        <v>51</v>
      </c>
    </row>
    <row r="164" spans="1:18" x14ac:dyDescent="0.35">
      <c r="A164" s="54">
        <v>1240177</v>
      </c>
      <c r="B164" s="54">
        <v>106988</v>
      </c>
      <c r="C164" s="54" t="s">
        <v>711</v>
      </c>
      <c r="D164" s="51">
        <v>140911.54000000679</v>
      </c>
      <c r="E164" s="52">
        <v>0.12692196836435149</v>
      </c>
      <c r="F164" s="51">
        <v>140911.54000000679</v>
      </c>
      <c r="G164" s="52">
        <v>0.12692196836435149</v>
      </c>
      <c r="H164" s="53">
        <v>8733</v>
      </c>
      <c r="I164" s="52">
        <v>1.4167924747416096E-2</v>
      </c>
      <c r="J164" s="53">
        <v>8733</v>
      </c>
      <c r="K164" s="52">
        <v>1.4167924747416096E-2</v>
      </c>
      <c r="L164" s="53">
        <v>5964</v>
      </c>
      <c r="M164" s="52">
        <v>8.6250634195839671E-3</v>
      </c>
      <c r="N164" s="53">
        <v>5964</v>
      </c>
      <c r="O164" s="52">
        <v>8.6250634195839671E-3</v>
      </c>
      <c r="P164" s="51">
        <f t="shared" si="4"/>
        <v>1.4642857142857142</v>
      </c>
      <c r="Q164" s="50">
        <f t="shared" si="5"/>
        <v>23.62701877934386</v>
      </c>
      <c r="R164" s="39" t="s">
        <v>51</v>
      </c>
    </row>
    <row r="165" spans="1:18" x14ac:dyDescent="0.35">
      <c r="A165" s="54">
        <v>1240318</v>
      </c>
      <c r="B165" s="54">
        <v>106960</v>
      </c>
      <c r="C165" s="54" t="s">
        <v>710</v>
      </c>
      <c r="D165" s="51">
        <v>140488.55000000045</v>
      </c>
      <c r="E165" s="52">
        <v>1.6567419651159321E-2</v>
      </c>
      <c r="F165" s="51">
        <v>140488.55000000045</v>
      </c>
      <c r="G165" s="52">
        <v>1.6567419651159321E-2</v>
      </c>
      <c r="H165" s="53">
        <v>7428</v>
      </c>
      <c r="I165" s="52">
        <v>-5.8435796678920016E-2</v>
      </c>
      <c r="J165" s="53">
        <v>7428</v>
      </c>
      <c r="K165" s="52">
        <v>-5.8435796678920016E-2</v>
      </c>
      <c r="L165" s="53">
        <v>5890</v>
      </c>
      <c r="M165" s="52">
        <v>-5.2597715940164068E-2</v>
      </c>
      <c r="N165" s="53">
        <v>5890</v>
      </c>
      <c r="O165" s="52">
        <v>-5.2597715940164068E-2</v>
      </c>
      <c r="P165" s="51">
        <f t="shared" si="4"/>
        <v>1.2611205432937183</v>
      </c>
      <c r="Q165" s="50">
        <f t="shared" si="5"/>
        <v>23.852045840407548</v>
      </c>
      <c r="R165" s="39" t="s">
        <v>51</v>
      </c>
    </row>
    <row r="166" spans="1:18" x14ac:dyDescent="0.35">
      <c r="A166" s="54">
        <v>1270009</v>
      </c>
      <c r="B166" s="54">
        <v>102306</v>
      </c>
      <c r="C166" s="54" t="s">
        <v>709</v>
      </c>
      <c r="D166" s="51">
        <v>138283.65000000061</v>
      </c>
      <c r="E166" s="52">
        <v>0.12877203814541924</v>
      </c>
      <c r="F166" s="51">
        <v>138283.65000000061</v>
      </c>
      <c r="G166" s="52">
        <v>0.12877203814541924</v>
      </c>
      <c r="H166" s="53">
        <v>8734</v>
      </c>
      <c r="I166" s="52">
        <v>4.075309818875119E-2</v>
      </c>
      <c r="J166" s="53">
        <v>8734</v>
      </c>
      <c r="K166" s="52">
        <v>4.075309818875119E-2</v>
      </c>
      <c r="L166" s="53">
        <v>4984</v>
      </c>
      <c r="M166" s="52">
        <v>1.8181818181818181E-2</v>
      </c>
      <c r="N166" s="53">
        <v>4984</v>
      </c>
      <c r="O166" s="52">
        <v>1.8181818181818181E-2</v>
      </c>
      <c r="P166" s="51">
        <f t="shared" si="4"/>
        <v>1.7524077046548956</v>
      </c>
      <c r="Q166" s="50">
        <f t="shared" si="5"/>
        <v>27.745515650080378</v>
      </c>
      <c r="R166" s="39" t="s">
        <v>54</v>
      </c>
    </row>
    <row r="167" spans="1:18" x14ac:dyDescent="0.35">
      <c r="A167" s="54">
        <v>1160002</v>
      </c>
      <c r="B167" s="54">
        <v>104088</v>
      </c>
      <c r="C167" s="54" t="s">
        <v>708</v>
      </c>
      <c r="D167" s="51">
        <v>138229.45000000601</v>
      </c>
      <c r="E167" s="52">
        <v>1.7989686618067654E-2</v>
      </c>
      <c r="F167" s="51">
        <v>138229.45000000601</v>
      </c>
      <c r="G167" s="52">
        <v>1.7989686618067654E-2</v>
      </c>
      <c r="H167" s="53">
        <v>8466</v>
      </c>
      <c r="I167" s="52">
        <v>-4.8870913380519042E-2</v>
      </c>
      <c r="J167" s="53">
        <v>8466</v>
      </c>
      <c r="K167" s="52">
        <v>-4.8870913380519042E-2</v>
      </c>
      <c r="L167" s="53">
        <v>5476</v>
      </c>
      <c r="M167" s="52">
        <v>-3.6593947923997186E-2</v>
      </c>
      <c r="N167" s="53">
        <v>5476</v>
      </c>
      <c r="O167" s="52">
        <v>-3.6593947923997186E-2</v>
      </c>
      <c r="P167" s="51">
        <f t="shared" si="4"/>
        <v>1.5460189919649379</v>
      </c>
      <c r="Q167" s="50">
        <f t="shared" si="5"/>
        <v>25.242777574873266</v>
      </c>
      <c r="R167" s="39" t="s">
        <v>54</v>
      </c>
    </row>
    <row r="168" spans="1:18" x14ac:dyDescent="0.35">
      <c r="A168" s="54">
        <v>1230100</v>
      </c>
      <c r="B168" s="54">
        <v>105556</v>
      </c>
      <c r="C168" s="54" t="s">
        <v>707</v>
      </c>
      <c r="D168" s="51">
        <v>138009.39000000566</v>
      </c>
      <c r="E168" s="52">
        <v>0.28780334453369699</v>
      </c>
      <c r="F168" s="51">
        <v>138009.39000000566</v>
      </c>
      <c r="G168" s="52">
        <v>0.28780334453369699</v>
      </c>
      <c r="H168" s="53">
        <v>7656</v>
      </c>
      <c r="I168" s="52">
        <v>0.19270914472659292</v>
      </c>
      <c r="J168" s="53">
        <v>7656</v>
      </c>
      <c r="K168" s="52">
        <v>0.19270914472659292</v>
      </c>
      <c r="L168" s="53">
        <v>5309</v>
      </c>
      <c r="M168" s="52">
        <v>0.18319589926454202</v>
      </c>
      <c r="N168" s="53">
        <v>5309</v>
      </c>
      <c r="O168" s="52">
        <v>0.18319589926454202</v>
      </c>
      <c r="P168" s="51">
        <f t="shared" si="4"/>
        <v>1.4420794876624601</v>
      </c>
      <c r="Q168" s="50">
        <f t="shared" si="5"/>
        <v>25.995364475420164</v>
      </c>
      <c r="R168" s="39" t="s">
        <v>51</v>
      </c>
    </row>
    <row r="169" spans="1:18" x14ac:dyDescent="0.35">
      <c r="A169" s="54">
        <v>1240178</v>
      </c>
      <c r="B169" s="54">
        <v>104715</v>
      </c>
      <c r="C169" s="54" t="s">
        <v>706</v>
      </c>
      <c r="D169" s="51">
        <v>137741.27000000628</v>
      </c>
      <c r="E169" s="52">
        <v>4.8491484796131294E-2</v>
      </c>
      <c r="F169" s="51">
        <v>137741.27000000628</v>
      </c>
      <c r="G169" s="52">
        <v>4.8491484796131294E-2</v>
      </c>
      <c r="H169" s="53">
        <v>9120</v>
      </c>
      <c r="I169" s="52">
        <v>-5.8823529411764705E-2</v>
      </c>
      <c r="J169" s="53">
        <v>9120</v>
      </c>
      <c r="K169" s="52">
        <v>-5.8823529411764705E-2</v>
      </c>
      <c r="L169" s="53">
        <v>5966</v>
      </c>
      <c r="M169" s="52">
        <v>-2.9129373474369405E-2</v>
      </c>
      <c r="N169" s="53">
        <v>5966</v>
      </c>
      <c r="O169" s="52">
        <v>-2.9129373474369405E-2</v>
      </c>
      <c r="P169" s="51">
        <f t="shared" si="4"/>
        <v>1.5286624203821657</v>
      </c>
      <c r="Q169" s="50">
        <f t="shared" si="5"/>
        <v>23.087708682535414</v>
      </c>
      <c r="R169" s="39" t="s">
        <v>54</v>
      </c>
    </row>
    <row r="170" spans="1:18" x14ac:dyDescent="0.35">
      <c r="A170" s="54">
        <v>1230118</v>
      </c>
      <c r="B170" s="54">
        <v>106923</v>
      </c>
      <c r="C170" s="54" t="s">
        <v>705</v>
      </c>
      <c r="D170" s="51">
        <v>137314.39000000493</v>
      </c>
      <c r="E170" s="52">
        <v>2.9228680315590359E-2</v>
      </c>
      <c r="F170" s="51">
        <v>137314.39000000493</v>
      </c>
      <c r="G170" s="52">
        <v>2.9228680315590359E-2</v>
      </c>
      <c r="H170" s="53">
        <v>9322</v>
      </c>
      <c r="I170" s="52">
        <v>-2.7134209977040285E-2</v>
      </c>
      <c r="J170" s="53">
        <v>9322</v>
      </c>
      <c r="K170" s="52">
        <v>-2.7134209977040285E-2</v>
      </c>
      <c r="L170" s="53">
        <v>6216</v>
      </c>
      <c r="M170" s="52">
        <v>-5.675265553869499E-2</v>
      </c>
      <c r="N170" s="53">
        <v>6216</v>
      </c>
      <c r="O170" s="52">
        <v>-5.675265553869499E-2</v>
      </c>
      <c r="P170" s="51">
        <f t="shared" si="4"/>
        <v>1.4996782496782497</v>
      </c>
      <c r="Q170" s="50">
        <f t="shared" si="5"/>
        <v>22.090474581725374</v>
      </c>
      <c r="R170" s="39" t="s">
        <v>51</v>
      </c>
    </row>
    <row r="171" spans="1:18" x14ac:dyDescent="0.35">
      <c r="A171" s="54">
        <v>1240134</v>
      </c>
      <c r="B171" s="54">
        <v>100369</v>
      </c>
      <c r="C171" s="54" t="s">
        <v>704</v>
      </c>
      <c r="D171" s="51">
        <v>136808.80000000427</v>
      </c>
      <c r="E171" s="52">
        <v>0.10738373461542593</v>
      </c>
      <c r="F171" s="51">
        <v>136808.80000000427</v>
      </c>
      <c r="G171" s="52">
        <v>0.10738373461542593</v>
      </c>
      <c r="H171" s="53">
        <v>9532.99</v>
      </c>
      <c r="I171" s="52">
        <v>1.3644957983193048E-3</v>
      </c>
      <c r="J171" s="53">
        <v>9532.99</v>
      </c>
      <c r="K171" s="52">
        <v>1.3644957983193048E-3</v>
      </c>
      <c r="L171" s="53">
        <v>5121</v>
      </c>
      <c r="M171" s="52">
        <v>-6.0194531106625065E-2</v>
      </c>
      <c r="N171" s="53">
        <v>5121</v>
      </c>
      <c r="O171" s="52">
        <v>-6.0194531106625065E-2</v>
      </c>
      <c r="P171" s="51">
        <f t="shared" si="4"/>
        <v>1.8615485256785784</v>
      </c>
      <c r="Q171" s="50">
        <f t="shared" si="5"/>
        <v>26.715250927554045</v>
      </c>
      <c r="R171" s="39" t="s">
        <v>54</v>
      </c>
    </row>
    <row r="172" spans="1:18" x14ac:dyDescent="0.35">
      <c r="A172" s="54">
        <v>1240351</v>
      </c>
      <c r="B172" s="54">
        <v>106534</v>
      </c>
      <c r="C172" s="54" t="s">
        <v>703</v>
      </c>
      <c r="D172" s="51">
        <v>136418.34000000468</v>
      </c>
      <c r="E172" s="52">
        <v>0.43067982449474301</v>
      </c>
      <c r="F172" s="51">
        <v>136418.34000000468</v>
      </c>
      <c r="G172" s="52">
        <v>0.43067982449474301</v>
      </c>
      <c r="H172" s="53">
        <v>9646.99</v>
      </c>
      <c r="I172" s="52">
        <v>0.30984249830278343</v>
      </c>
      <c r="J172" s="53">
        <v>9646.99</v>
      </c>
      <c r="K172" s="52">
        <v>0.30984249830278343</v>
      </c>
      <c r="L172" s="53">
        <v>6070</v>
      </c>
      <c r="M172" s="52">
        <v>0.25206270627062705</v>
      </c>
      <c r="N172" s="53">
        <v>6070</v>
      </c>
      <c r="O172" s="52">
        <v>0.25206270627062705</v>
      </c>
      <c r="P172" s="51">
        <f t="shared" si="4"/>
        <v>1.5892899505766063</v>
      </c>
      <c r="Q172" s="50">
        <f t="shared" si="5"/>
        <v>22.474191103789899</v>
      </c>
      <c r="R172" s="39" t="s">
        <v>54</v>
      </c>
    </row>
    <row r="173" spans="1:18" x14ac:dyDescent="0.35">
      <c r="A173" s="54">
        <v>1240212</v>
      </c>
      <c r="B173" s="54">
        <v>104711</v>
      </c>
      <c r="C173" s="54" t="s">
        <v>702</v>
      </c>
      <c r="D173" s="51">
        <v>135951.43000000453</v>
      </c>
      <c r="E173" s="52">
        <v>1.9808225561378588E-2</v>
      </c>
      <c r="F173" s="51">
        <v>135951.43000000453</v>
      </c>
      <c r="G173" s="52">
        <v>1.9808225561378588E-2</v>
      </c>
      <c r="H173" s="53">
        <v>9446</v>
      </c>
      <c r="I173" s="52">
        <v>-6.6969577242196765E-2</v>
      </c>
      <c r="J173" s="53">
        <v>9446</v>
      </c>
      <c r="K173" s="52">
        <v>-6.6969577242196765E-2</v>
      </c>
      <c r="L173" s="53">
        <v>6143</v>
      </c>
      <c r="M173" s="52">
        <v>-6.4422784038988726E-2</v>
      </c>
      <c r="N173" s="53">
        <v>6143</v>
      </c>
      <c r="O173" s="52">
        <v>-6.4422784038988726E-2</v>
      </c>
      <c r="P173" s="51">
        <f t="shared" si="4"/>
        <v>1.5376851701123229</v>
      </c>
      <c r="Q173" s="50">
        <f t="shared" si="5"/>
        <v>22.131113462478353</v>
      </c>
      <c r="R173" s="39" t="s">
        <v>54</v>
      </c>
    </row>
    <row r="174" spans="1:18" x14ac:dyDescent="0.35">
      <c r="A174" s="54">
        <v>1230115</v>
      </c>
      <c r="B174" s="54">
        <v>106858</v>
      </c>
      <c r="C174" s="54" t="s">
        <v>701</v>
      </c>
      <c r="D174" s="51">
        <v>135705.62000000564</v>
      </c>
      <c r="E174" s="52">
        <v>0.179849936606371</v>
      </c>
      <c r="F174" s="51">
        <v>135705.62000000564</v>
      </c>
      <c r="G174" s="52">
        <v>0.179849936606371</v>
      </c>
      <c r="H174" s="53">
        <v>7905</v>
      </c>
      <c r="I174" s="52">
        <v>0.11432196222159571</v>
      </c>
      <c r="J174" s="53">
        <v>7905</v>
      </c>
      <c r="K174" s="52">
        <v>0.11432196222159571</v>
      </c>
      <c r="L174" s="53">
        <v>6234</v>
      </c>
      <c r="M174" s="52">
        <v>0.12567713976164679</v>
      </c>
      <c r="N174" s="53">
        <v>6234</v>
      </c>
      <c r="O174" s="52">
        <v>0.12567713976164679</v>
      </c>
      <c r="P174" s="51">
        <f t="shared" si="4"/>
        <v>1.268046198267565</v>
      </c>
      <c r="Q174" s="50">
        <f t="shared" si="5"/>
        <v>21.768626884826059</v>
      </c>
      <c r="R174" s="39" t="s">
        <v>51</v>
      </c>
    </row>
    <row r="175" spans="1:18" x14ac:dyDescent="0.35">
      <c r="A175" s="54">
        <v>1260013</v>
      </c>
      <c r="B175" s="54">
        <v>104185</v>
      </c>
      <c r="C175" s="54" t="s">
        <v>700</v>
      </c>
      <c r="D175" s="51">
        <v>135298.89000000505</v>
      </c>
      <c r="E175" s="52">
        <v>0.19351447909019759</v>
      </c>
      <c r="F175" s="51">
        <v>135298.89000000505</v>
      </c>
      <c r="G175" s="52">
        <v>0.19351447909019759</v>
      </c>
      <c r="H175" s="53">
        <v>8461</v>
      </c>
      <c r="I175" s="52">
        <v>5.2625031102264241E-2</v>
      </c>
      <c r="J175" s="53">
        <v>8461</v>
      </c>
      <c r="K175" s="52">
        <v>5.2625031102264241E-2</v>
      </c>
      <c r="L175" s="53">
        <v>5352</v>
      </c>
      <c r="M175" s="52">
        <v>6.7624177139437469E-2</v>
      </c>
      <c r="N175" s="53">
        <v>5352</v>
      </c>
      <c r="O175" s="52">
        <v>6.7624177139437469E-2</v>
      </c>
      <c r="P175" s="51">
        <f t="shared" si="4"/>
        <v>1.5809043348281016</v>
      </c>
      <c r="Q175" s="50">
        <f t="shared" si="5"/>
        <v>25.28006165919377</v>
      </c>
      <c r="R175" s="39" t="s">
        <v>54</v>
      </c>
    </row>
    <row r="176" spans="1:18" x14ac:dyDescent="0.35">
      <c r="A176" s="54">
        <v>1260009</v>
      </c>
      <c r="B176" s="54">
        <v>101699</v>
      </c>
      <c r="C176" s="54" t="s">
        <v>699</v>
      </c>
      <c r="D176" s="51">
        <v>134016.3400000059</v>
      </c>
      <c r="E176" s="52">
        <v>0.16472637351648273</v>
      </c>
      <c r="F176" s="51">
        <v>134016.3400000059</v>
      </c>
      <c r="G176" s="52">
        <v>0.16472637351648273</v>
      </c>
      <c r="H176" s="53">
        <v>8125</v>
      </c>
      <c r="I176" s="52">
        <v>4.340567612687813E-2</v>
      </c>
      <c r="J176" s="53">
        <v>8125</v>
      </c>
      <c r="K176" s="52">
        <v>4.340567612687813E-2</v>
      </c>
      <c r="L176" s="53">
        <v>5473</v>
      </c>
      <c r="M176" s="52">
        <v>7.1037181996086107E-2</v>
      </c>
      <c r="N176" s="53">
        <v>5473</v>
      </c>
      <c r="O176" s="52">
        <v>7.1037181996086107E-2</v>
      </c>
      <c r="P176" s="51">
        <f t="shared" si="4"/>
        <v>1.484560570071259</v>
      </c>
      <c r="Q176" s="50">
        <f t="shared" si="5"/>
        <v>24.486815274987375</v>
      </c>
      <c r="R176" s="39" t="s">
        <v>51</v>
      </c>
    </row>
    <row r="177" spans="1:18" x14ac:dyDescent="0.35">
      <c r="A177" s="54">
        <v>1240163</v>
      </c>
      <c r="B177" s="54">
        <v>100873</v>
      </c>
      <c r="C177" s="54" t="s">
        <v>698</v>
      </c>
      <c r="D177" s="51">
        <v>132682.95999999996</v>
      </c>
      <c r="E177" s="52">
        <v>-0.19450576308920908</v>
      </c>
      <c r="F177" s="51">
        <v>132682.95999999996</v>
      </c>
      <c r="G177" s="52">
        <v>-0.19450576308920908</v>
      </c>
      <c r="H177" s="53">
        <v>8016.99</v>
      </c>
      <c r="I177" s="52">
        <v>-0.28744200515509732</v>
      </c>
      <c r="J177" s="53">
        <v>8016.99</v>
      </c>
      <c r="K177" s="52">
        <v>-0.28744200515509732</v>
      </c>
      <c r="L177" s="53">
        <v>5139</v>
      </c>
      <c r="M177" s="52">
        <v>-0.27762159122856339</v>
      </c>
      <c r="N177" s="53">
        <v>5139</v>
      </c>
      <c r="O177" s="52">
        <v>-0.27762159122856339</v>
      </c>
      <c r="P177" s="51">
        <f t="shared" si="4"/>
        <v>1.5600291885580853</v>
      </c>
      <c r="Q177" s="50">
        <f t="shared" si="5"/>
        <v>25.818828565868838</v>
      </c>
      <c r="R177" s="39" t="s">
        <v>54</v>
      </c>
    </row>
    <row r="178" spans="1:18" x14ac:dyDescent="0.35">
      <c r="A178" s="54">
        <v>1200012</v>
      </c>
      <c r="B178" s="54">
        <v>104038</v>
      </c>
      <c r="C178" s="54" t="s">
        <v>697</v>
      </c>
      <c r="D178" s="51">
        <v>132623.30000000467</v>
      </c>
      <c r="E178" s="52">
        <v>0.32105630874857305</v>
      </c>
      <c r="F178" s="51">
        <v>132623.30000000467</v>
      </c>
      <c r="G178" s="52">
        <v>0.32105630874857305</v>
      </c>
      <c r="H178" s="53">
        <v>8873</v>
      </c>
      <c r="I178" s="52">
        <v>0.1971127900701565</v>
      </c>
      <c r="J178" s="53">
        <v>8873</v>
      </c>
      <c r="K178" s="52">
        <v>0.1971127900701565</v>
      </c>
      <c r="L178" s="53">
        <v>5534</v>
      </c>
      <c r="M178" s="52">
        <v>0.19783549783549784</v>
      </c>
      <c r="N178" s="53">
        <v>5534</v>
      </c>
      <c r="O178" s="52">
        <v>0.19783549783549784</v>
      </c>
      <c r="P178" s="51">
        <f t="shared" si="4"/>
        <v>1.6033610408384531</v>
      </c>
      <c r="Q178" s="50">
        <f t="shared" si="5"/>
        <v>23.965178894109989</v>
      </c>
      <c r="R178" s="39" t="s">
        <v>54</v>
      </c>
    </row>
    <row r="179" spans="1:18" x14ac:dyDescent="0.35">
      <c r="A179" s="54">
        <v>1270002</v>
      </c>
      <c r="B179" s="54">
        <v>100544</v>
      </c>
      <c r="C179" s="54" t="s">
        <v>696</v>
      </c>
      <c r="D179" s="51">
        <v>131744.75000000541</v>
      </c>
      <c r="E179" s="52">
        <v>3.3340055213569926E-2</v>
      </c>
      <c r="F179" s="51">
        <v>131744.75000000541</v>
      </c>
      <c r="G179" s="52">
        <v>3.3340055213569926E-2</v>
      </c>
      <c r="H179" s="53">
        <v>8693</v>
      </c>
      <c r="I179" s="52">
        <v>-4.3253356812678848E-2</v>
      </c>
      <c r="J179" s="53">
        <v>8693</v>
      </c>
      <c r="K179" s="52">
        <v>-4.3253356812678848E-2</v>
      </c>
      <c r="L179" s="53">
        <v>5944</v>
      </c>
      <c r="M179" s="52">
        <v>-5.2295918367346941E-2</v>
      </c>
      <c r="N179" s="53">
        <v>5944</v>
      </c>
      <c r="O179" s="52">
        <v>-5.2295918367346941E-2</v>
      </c>
      <c r="P179" s="51">
        <f t="shared" si="4"/>
        <v>1.4624831763122477</v>
      </c>
      <c r="Q179" s="50">
        <f t="shared" si="5"/>
        <v>22.16432537012204</v>
      </c>
      <c r="R179" s="39" t="s">
        <v>51</v>
      </c>
    </row>
    <row r="180" spans="1:18" x14ac:dyDescent="0.35">
      <c r="A180" s="54">
        <v>1200023</v>
      </c>
      <c r="B180" s="54">
        <v>107116</v>
      </c>
      <c r="C180" s="54" t="s">
        <v>695</v>
      </c>
      <c r="D180" s="51">
        <v>131388.95000000531</v>
      </c>
      <c r="E180" s="52">
        <v>0.30446189300689691</v>
      </c>
      <c r="F180" s="51">
        <v>131388.95000000531</v>
      </c>
      <c r="G180" s="52">
        <v>0.30446189300689691</v>
      </c>
      <c r="H180" s="53">
        <v>8446</v>
      </c>
      <c r="I180" s="52">
        <v>0.25834326579261024</v>
      </c>
      <c r="J180" s="53">
        <v>8446</v>
      </c>
      <c r="K180" s="52">
        <v>0.25834326579261024</v>
      </c>
      <c r="L180" s="53">
        <v>5651</v>
      </c>
      <c r="M180" s="52">
        <v>0.21579173838209983</v>
      </c>
      <c r="N180" s="53">
        <v>5651</v>
      </c>
      <c r="O180" s="52">
        <v>0.21579173838209983</v>
      </c>
      <c r="P180" s="51">
        <f t="shared" si="4"/>
        <v>1.4946027251813838</v>
      </c>
      <c r="Q180" s="50">
        <f t="shared" si="5"/>
        <v>23.25056627145732</v>
      </c>
      <c r="R180" s="39" t="s">
        <v>51</v>
      </c>
    </row>
    <row r="181" spans="1:18" x14ac:dyDescent="0.35">
      <c r="A181" s="54">
        <v>1250013</v>
      </c>
      <c r="B181" s="54">
        <v>102901</v>
      </c>
      <c r="C181" s="54" t="s">
        <v>694</v>
      </c>
      <c r="D181" s="51">
        <v>131282.90000000189</v>
      </c>
      <c r="E181" s="52">
        <v>-0.25120352058896178</v>
      </c>
      <c r="F181" s="51">
        <v>131282.90000000189</v>
      </c>
      <c r="G181" s="52">
        <v>-0.25120352058896178</v>
      </c>
      <c r="H181" s="53">
        <v>6787</v>
      </c>
      <c r="I181" s="52">
        <v>-0.28797733948804027</v>
      </c>
      <c r="J181" s="53">
        <v>6787</v>
      </c>
      <c r="K181" s="52">
        <v>-0.28797733948804027</v>
      </c>
      <c r="L181" s="53">
        <v>4314</v>
      </c>
      <c r="M181" s="52">
        <v>-0.28445845082103166</v>
      </c>
      <c r="N181" s="53">
        <v>4314</v>
      </c>
      <c r="O181" s="52">
        <v>-0.28445845082103166</v>
      </c>
      <c r="P181" s="51">
        <f t="shared" si="4"/>
        <v>1.5732498840982847</v>
      </c>
      <c r="Q181" s="50">
        <f t="shared" si="5"/>
        <v>30.431826611034282</v>
      </c>
      <c r="R181" s="39" t="s">
        <v>54</v>
      </c>
    </row>
    <row r="182" spans="1:18" x14ac:dyDescent="0.35">
      <c r="A182" s="54">
        <v>1270013</v>
      </c>
      <c r="B182" s="54">
        <v>104622</v>
      </c>
      <c r="C182" s="54" t="s">
        <v>693</v>
      </c>
      <c r="D182" s="51">
        <v>130998.3400000026</v>
      </c>
      <c r="E182" s="52">
        <v>0.1722607029877043</v>
      </c>
      <c r="F182" s="51">
        <v>130998.3400000026</v>
      </c>
      <c r="G182" s="52">
        <v>0.1722607029877043</v>
      </c>
      <c r="H182" s="53">
        <v>8513</v>
      </c>
      <c r="I182" s="52">
        <v>0.12590927126041529</v>
      </c>
      <c r="J182" s="53">
        <v>8513</v>
      </c>
      <c r="K182" s="52">
        <v>0.12590927126041529</v>
      </c>
      <c r="L182" s="53">
        <v>4988</v>
      </c>
      <c r="M182" s="52">
        <v>8.3405734144222421E-2</v>
      </c>
      <c r="N182" s="53">
        <v>4988</v>
      </c>
      <c r="O182" s="52">
        <v>8.3405734144222421E-2</v>
      </c>
      <c r="P182" s="51">
        <f t="shared" si="4"/>
        <v>1.7066960705693666</v>
      </c>
      <c r="Q182" s="50">
        <f t="shared" si="5"/>
        <v>26.262698476343747</v>
      </c>
      <c r="R182" s="39" t="s">
        <v>54</v>
      </c>
    </row>
    <row r="183" spans="1:18" x14ac:dyDescent="0.35">
      <c r="A183" s="54">
        <v>1240114</v>
      </c>
      <c r="B183" s="54">
        <v>100670</v>
      </c>
      <c r="C183" s="54" t="s">
        <v>692</v>
      </c>
      <c r="D183" s="51">
        <v>130272.54000000455</v>
      </c>
      <c r="E183" s="52">
        <v>0.3822292938619542</v>
      </c>
      <c r="F183" s="51">
        <v>98488.320000002946</v>
      </c>
      <c r="G183" s="52">
        <v>4.4989535072007487E-2</v>
      </c>
      <c r="H183" s="53">
        <v>9196</v>
      </c>
      <c r="I183" s="52">
        <v>0.31861198738170349</v>
      </c>
      <c r="J183" s="53">
        <v>6957</v>
      </c>
      <c r="K183" s="52">
        <v>-2.4376254660166334E-3</v>
      </c>
      <c r="L183" s="53">
        <v>6328</v>
      </c>
      <c r="M183" s="52">
        <v>0.33671313899450783</v>
      </c>
      <c r="N183" s="53">
        <v>4802</v>
      </c>
      <c r="O183" s="52">
        <v>1.436417405999155E-2</v>
      </c>
      <c r="P183" s="51">
        <f t="shared" si="4"/>
        <v>1.4532237673830595</v>
      </c>
      <c r="Q183" s="50">
        <f t="shared" si="5"/>
        <v>20.586684576486181</v>
      </c>
      <c r="R183" s="39" t="s">
        <v>51</v>
      </c>
    </row>
    <row r="184" spans="1:18" x14ac:dyDescent="0.35">
      <c r="A184" s="54">
        <v>1230114</v>
      </c>
      <c r="B184" s="54">
        <v>106843</v>
      </c>
      <c r="C184" s="54" t="s">
        <v>691</v>
      </c>
      <c r="D184" s="51">
        <v>130099.78000000457</v>
      </c>
      <c r="E184" s="52">
        <v>0.11648224940404379</v>
      </c>
      <c r="F184" s="51">
        <v>130099.78000000457</v>
      </c>
      <c r="G184" s="52">
        <v>0.11648224940404379</v>
      </c>
      <c r="H184" s="53">
        <v>8088</v>
      </c>
      <c r="I184" s="52">
        <v>3.6391594054331115E-2</v>
      </c>
      <c r="J184" s="53">
        <v>8088</v>
      </c>
      <c r="K184" s="52">
        <v>3.6391594054331115E-2</v>
      </c>
      <c r="L184" s="53">
        <v>5594</v>
      </c>
      <c r="M184" s="52">
        <v>2.9254829806807728E-2</v>
      </c>
      <c r="N184" s="53">
        <v>5594</v>
      </c>
      <c r="O184" s="52">
        <v>2.9254829806807728E-2</v>
      </c>
      <c r="P184" s="51">
        <f t="shared" si="4"/>
        <v>1.4458348230246694</v>
      </c>
      <c r="Q184" s="50">
        <f t="shared" si="5"/>
        <v>23.257021809081976</v>
      </c>
      <c r="R184" s="39" t="s">
        <v>51</v>
      </c>
    </row>
    <row r="185" spans="1:18" x14ac:dyDescent="0.35">
      <c r="A185" s="54">
        <v>1240170</v>
      </c>
      <c r="B185" s="54">
        <v>101670</v>
      </c>
      <c r="C185" s="54" t="s">
        <v>690</v>
      </c>
      <c r="D185" s="51">
        <v>129389.30000000435</v>
      </c>
      <c r="E185" s="52">
        <v>-9.5738591771025991E-2</v>
      </c>
      <c r="F185" s="51">
        <v>129389.30000000435</v>
      </c>
      <c r="G185" s="52">
        <v>-9.5738591771025991E-2</v>
      </c>
      <c r="H185" s="53">
        <v>8466</v>
      </c>
      <c r="I185" s="52">
        <v>-0.19753554502369669</v>
      </c>
      <c r="J185" s="53">
        <v>8466</v>
      </c>
      <c r="K185" s="52">
        <v>-0.19753554502369669</v>
      </c>
      <c r="L185" s="53">
        <v>5392</v>
      </c>
      <c r="M185" s="52">
        <v>-0.20705882352941177</v>
      </c>
      <c r="N185" s="53">
        <v>5392</v>
      </c>
      <c r="O185" s="52">
        <v>-0.20705882352941177</v>
      </c>
      <c r="P185" s="51">
        <f t="shared" si="4"/>
        <v>1.5701038575667656</v>
      </c>
      <c r="Q185" s="50">
        <f t="shared" si="5"/>
        <v>23.9965318991106</v>
      </c>
      <c r="R185" s="39" t="s">
        <v>54</v>
      </c>
    </row>
    <row r="186" spans="1:18" x14ac:dyDescent="0.35">
      <c r="A186" s="54">
        <v>1240244</v>
      </c>
      <c r="B186" s="54">
        <v>104370</v>
      </c>
      <c r="C186" s="54" t="s">
        <v>689</v>
      </c>
      <c r="D186" s="51">
        <v>129383.85000000478</v>
      </c>
      <c r="E186" s="52">
        <v>0.17813042329757542</v>
      </c>
      <c r="F186" s="51">
        <v>129383.85000000478</v>
      </c>
      <c r="G186" s="52">
        <v>0.17813042329757542</v>
      </c>
      <c r="H186" s="53">
        <v>8996</v>
      </c>
      <c r="I186" s="52">
        <v>9.1059040411390776E-2</v>
      </c>
      <c r="J186" s="53">
        <v>8996</v>
      </c>
      <c r="K186" s="52">
        <v>9.1059040411390776E-2</v>
      </c>
      <c r="L186" s="53">
        <v>6208</v>
      </c>
      <c r="M186" s="52">
        <v>7.2008288723881889E-2</v>
      </c>
      <c r="N186" s="53">
        <v>6208</v>
      </c>
      <c r="O186" s="52">
        <v>7.2008288723881889E-2</v>
      </c>
      <c r="P186" s="51">
        <f t="shared" si="4"/>
        <v>1.4490979381443299</v>
      </c>
      <c r="Q186" s="50">
        <f t="shared" si="5"/>
        <v>20.841470682990462</v>
      </c>
      <c r="R186" s="39" t="s">
        <v>51</v>
      </c>
    </row>
    <row r="187" spans="1:18" x14ac:dyDescent="0.35">
      <c r="A187" s="54">
        <v>1240280</v>
      </c>
      <c r="B187" s="54">
        <v>104910</v>
      </c>
      <c r="C187" s="54" t="s">
        <v>688</v>
      </c>
      <c r="D187" s="51">
        <v>129072.97000000475</v>
      </c>
      <c r="E187" s="52">
        <v>1.9649707391700712E-2</v>
      </c>
      <c r="F187" s="51">
        <v>129072.97000000475</v>
      </c>
      <c r="G187" s="52">
        <v>1.9649707391700712E-2</v>
      </c>
      <c r="H187" s="53">
        <v>8101</v>
      </c>
      <c r="I187" s="52">
        <v>-7.4065607497999772E-2</v>
      </c>
      <c r="J187" s="53">
        <v>8101</v>
      </c>
      <c r="K187" s="52">
        <v>-7.4065607497999772E-2</v>
      </c>
      <c r="L187" s="53">
        <v>5476</v>
      </c>
      <c r="M187" s="52">
        <v>-7.0604209097080789E-2</v>
      </c>
      <c r="N187" s="53">
        <v>5476</v>
      </c>
      <c r="O187" s="52">
        <v>-7.0604209097080789E-2</v>
      </c>
      <c r="P187" s="51">
        <f t="shared" si="4"/>
        <v>1.4793644996347699</v>
      </c>
      <c r="Q187" s="50">
        <f t="shared" si="5"/>
        <v>23.570666544924169</v>
      </c>
      <c r="R187" s="39" t="s">
        <v>51</v>
      </c>
    </row>
    <row r="188" spans="1:18" x14ac:dyDescent="0.35">
      <c r="A188" s="54">
        <v>1240079</v>
      </c>
      <c r="B188" s="54">
        <v>100293</v>
      </c>
      <c r="C188" s="54" t="s">
        <v>687</v>
      </c>
      <c r="D188" s="51">
        <v>128949.25000000463</v>
      </c>
      <c r="E188" s="52">
        <v>0.30292250400228171</v>
      </c>
      <c r="F188" s="51">
        <v>128949.25000000463</v>
      </c>
      <c r="G188" s="52">
        <v>0.30292250400228171</v>
      </c>
      <c r="H188" s="53">
        <v>8163</v>
      </c>
      <c r="I188" s="52">
        <v>0.17301336398907888</v>
      </c>
      <c r="J188" s="53">
        <v>8163</v>
      </c>
      <c r="K188" s="52">
        <v>0.17301336398907888</v>
      </c>
      <c r="L188" s="53">
        <v>5249</v>
      </c>
      <c r="M188" s="52">
        <v>0.18460844053261116</v>
      </c>
      <c r="N188" s="53">
        <v>5249</v>
      </c>
      <c r="O188" s="52">
        <v>0.18460844053261116</v>
      </c>
      <c r="P188" s="51">
        <f t="shared" si="4"/>
        <v>1.5551533625452467</v>
      </c>
      <c r="Q188" s="50">
        <f t="shared" si="5"/>
        <v>24.566441226901244</v>
      </c>
      <c r="R188" s="39" t="s">
        <v>54</v>
      </c>
    </row>
    <row r="189" spans="1:18" x14ac:dyDescent="0.35">
      <c r="A189" s="54">
        <v>1250008</v>
      </c>
      <c r="B189" s="54">
        <v>101085</v>
      </c>
      <c r="C189" s="54" t="s">
        <v>686</v>
      </c>
      <c r="D189" s="51">
        <v>128307.76000000494</v>
      </c>
      <c r="E189" s="52">
        <v>-0.17734170620165063</v>
      </c>
      <c r="F189" s="51">
        <v>128307.76000000494</v>
      </c>
      <c r="G189" s="52">
        <v>-0.17734170620165063</v>
      </c>
      <c r="H189" s="53">
        <v>7946</v>
      </c>
      <c r="I189" s="52">
        <v>-0.24114220227294433</v>
      </c>
      <c r="J189" s="53">
        <v>7946</v>
      </c>
      <c r="K189" s="52">
        <v>-0.24114220227294433</v>
      </c>
      <c r="L189" s="53">
        <v>5414</v>
      </c>
      <c r="M189" s="52">
        <v>-0.23896542029800394</v>
      </c>
      <c r="N189" s="53">
        <v>5414</v>
      </c>
      <c r="O189" s="52">
        <v>-0.23896542029800394</v>
      </c>
      <c r="P189" s="51">
        <f t="shared" si="4"/>
        <v>1.4676763945326929</v>
      </c>
      <c r="Q189" s="50">
        <f t="shared" si="5"/>
        <v>23.699253786480412</v>
      </c>
      <c r="R189" s="39" t="s">
        <v>51</v>
      </c>
    </row>
    <row r="190" spans="1:18" x14ac:dyDescent="0.35">
      <c r="A190" s="54">
        <v>1240144</v>
      </c>
      <c r="B190" s="54">
        <v>106085</v>
      </c>
      <c r="C190" s="54" t="s">
        <v>685</v>
      </c>
      <c r="D190" s="51">
        <v>127968.49000000392</v>
      </c>
      <c r="E190" s="52">
        <v>0.18245264658795077</v>
      </c>
      <c r="F190" s="51">
        <v>127968.49000000392</v>
      </c>
      <c r="G190" s="52">
        <v>0.18245264658795077</v>
      </c>
      <c r="H190" s="53">
        <v>9395</v>
      </c>
      <c r="I190" s="52">
        <v>6.122218457020219E-2</v>
      </c>
      <c r="J190" s="53">
        <v>9395</v>
      </c>
      <c r="K190" s="52">
        <v>6.122218457020219E-2</v>
      </c>
      <c r="L190" s="53">
        <v>5991</v>
      </c>
      <c r="M190" s="52">
        <v>3.2931034482758623E-2</v>
      </c>
      <c r="N190" s="53">
        <v>5991</v>
      </c>
      <c r="O190" s="52">
        <v>3.2931034482758623E-2</v>
      </c>
      <c r="P190" s="51">
        <f t="shared" si="4"/>
        <v>1.5681856117509598</v>
      </c>
      <c r="Q190" s="50">
        <f t="shared" si="5"/>
        <v>21.360121849441484</v>
      </c>
      <c r="R190" s="39" t="s">
        <v>54</v>
      </c>
    </row>
    <row r="191" spans="1:18" x14ac:dyDescent="0.35">
      <c r="A191" s="54">
        <v>1240346</v>
      </c>
      <c r="B191" s="54">
        <v>106371</v>
      </c>
      <c r="C191" s="54" t="s">
        <v>684</v>
      </c>
      <c r="D191" s="51">
        <v>127204.38000000504</v>
      </c>
      <c r="E191" s="52">
        <v>0.17740024722705577</v>
      </c>
      <c r="F191" s="51">
        <v>127204.38000000504</v>
      </c>
      <c r="G191" s="52">
        <v>0.17740024722705577</v>
      </c>
      <c r="H191" s="53">
        <v>7785</v>
      </c>
      <c r="I191" s="52">
        <v>9.5861486486486486E-2</v>
      </c>
      <c r="J191" s="53">
        <v>7785</v>
      </c>
      <c r="K191" s="52">
        <v>9.5861486486486486E-2</v>
      </c>
      <c r="L191" s="53">
        <v>4579</v>
      </c>
      <c r="M191" s="52">
        <v>8.6616041765543425E-2</v>
      </c>
      <c r="N191" s="53">
        <v>4579</v>
      </c>
      <c r="O191" s="52">
        <v>8.6616041765543425E-2</v>
      </c>
      <c r="P191" s="51">
        <f t="shared" si="4"/>
        <v>1.7001528718060712</v>
      </c>
      <c r="Q191" s="50">
        <f t="shared" si="5"/>
        <v>27.779947586810447</v>
      </c>
      <c r="R191" s="39" t="s">
        <v>54</v>
      </c>
    </row>
    <row r="192" spans="1:18" x14ac:dyDescent="0.35">
      <c r="A192" s="54">
        <v>1060010</v>
      </c>
      <c r="B192" s="54">
        <v>105510</v>
      </c>
      <c r="C192" s="54" t="s">
        <v>683</v>
      </c>
      <c r="D192" s="51">
        <v>127095.36000000473</v>
      </c>
      <c r="E192" s="52">
        <v>-0.13335961761146203</v>
      </c>
      <c r="F192" s="51">
        <v>127095.36000000473</v>
      </c>
      <c r="G192" s="52">
        <v>-0.13335961761146203</v>
      </c>
      <c r="H192" s="53">
        <v>7179</v>
      </c>
      <c r="I192" s="52">
        <v>-0.18927159796725015</v>
      </c>
      <c r="J192" s="53">
        <v>7179</v>
      </c>
      <c r="K192" s="52">
        <v>-0.18927159796725015</v>
      </c>
      <c r="L192" s="53">
        <v>4563</v>
      </c>
      <c r="M192" s="52">
        <v>-0.1437417902045412</v>
      </c>
      <c r="N192" s="53">
        <v>4563</v>
      </c>
      <c r="O192" s="52">
        <v>-0.1437417902045412</v>
      </c>
      <c r="P192" s="51">
        <f t="shared" si="4"/>
        <v>1.5733070348454963</v>
      </c>
      <c r="Q192" s="50">
        <f t="shared" si="5"/>
        <v>27.853464825773553</v>
      </c>
      <c r="R192" s="39" t="s">
        <v>54</v>
      </c>
    </row>
    <row r="193" spans="1:18" x14ac:dyDescent="0.35">
      <c r="A193" s="54">
        <v>1250016</v>
      </c>
      <c r="B193" s="54">
        <v>103332</v>
      </c>
      <c r="C193" s="54" t="s">
        <v>682</v>
      </c>
      <c r="D193" s="51">
        <v>126456.60000000433</v>
      </c>
      <c r="E193" s="52">
        <v>-6.1866055411610887E-2</v>
      </c>
      <c r="F193" s="51">
        <v>126456.60000000433</v>
      </c>
      <c r="G193" s="52">
        <v>-6.1866055411610887E-2</v>
      </c>
      <c r="H193" s="53">
        <v>6794</v>
      </c>
      <c r="I193" s="52">
        <v>-0.15455450472872076</v>
      </c>
      <c r="J193" s="53">
        <v>6794</v>
      </c>
      <c r="K193" s="52">
        <v>-0.15455450472872076</v>
      </c>
      <c r="L193" s="53">
        <v>4476</v>
      </c>
      <c r="M193" s="52">
        <v>-0.13423597678916827</v>
      </c>
      <c r="N193" s="53">
        <v>4476</v>
      </c>
      <c r="O193" s="52">
        <v>-0.13423597678916827</v>
      </c>
      <c r="P193" s="51">
        <f t="shared" si="4"/>
        <v>1.5178731009830206</v>
      </c>
      <c r="Q193" s="50">
        <f t="shared" si="5"/>
        <v>28.252144772118928</v>
      </c>
      <c r="R193" s="39" t="s">
        <v>54</v>
      </c>
    </row>
    <row r="194" spans="1:18" x14ac:dyDescent="0.35">
      <c r="A194" s="54">
        <v>1230064</v>
      </c>
      <c r="B194" s="54">
        <v>107104</v>
      </c>
      <c r="C194" s="54" t="s">
        <v>681</v>
      </c>
      <c r="D194" s="51">
        <v>126369.02000000456</v>
      </c>
      <c r="E194" s="52">
        <v>0.25576731286966981</v>
      </c>
      <c r="F194" s="51">
        <v>126369.02000000456</v>
      </c>
      <c r="G194" s="52">
        <v>0.25576731286966981</v>
      </c>
      <c r="H194" s="53">
        <v>7401.99</v>
      </c>
      <c r="I194" s="52">
        <v>0.14192995988892315</v>
      </c>
      <c r="J194" s="53">
        <v>7401.99</v>
      </c>
      <c r="K194" s="52">
        <v>0.14192995988892315</v>
      </c>
      <c r="L194" s="53">
        <v>4772</v>
      </c>
      <c r="M194" s="52">
        <v>8.8503649635036499E-2</v>
      </c>
      <c r="N194" s="53">
        <v>4772</v>
      </c>
      <c r="O194" s="52">
        <v>8.8503649635036499E-2</v>
      </c>
      <c r="P194" s="51">
        <f t="shared" si="4"/>
        <v>1.5511295054484493</v>
      </c>
      <c r="Q194" s="50">
        <f t="shared" si="5"/>
        <v>26.481353730093161</v>
      </c>
      <c r="R194" s="39" t="s">
        <v>54</v>
      </c>
    </row>
    <row r="195" spans="1:18" x14ac:dyDescent="0.35">
      <c r="A195" s="54">
        <v>1240412</v>
      </c>
      <c r="B195" s="54">
        <v>107328</v>
      </c>
      <c r="C195" s="54" t="s">
        <v>680</v>
      </c>
      <c r="D195" s="51">
        <v>126339.36000000485</v>
      </c>
      <c r="E195" s="52">
        <v>1.5305698958804843</v>
      </c>
      <c r="F195" s="51">
        <v>59564.479999999363</v>
      </c>
      <c r="G195" s="52">
        <v>0.19307300552866344</v>
      </c>
      <c r="H195" s="53">
        <v>8918</v>
      </c>
      <c r="I195" s="52">
        <v>1.612950483445649</v>
      </c>
      <c r="J195" s="53">
        <v>4223</v>
      </c>
      <c r="K195" s="52">
        <v>0.23732786404922357</v>
      </c>
      <c r="L195" s="53">
        <v>5960</v>
      </c>
      <c r="M195" s="52">
        <v>1.581203984408835</v>
      </c>
      <c r="N195" s="53">
        <v>2842</v>
      </c>
      <c r="O195" s="52">
        <v>0.23083585967951495</v>
      </c>
      <c r="P195" s="51">
        <f t="shared" si="4"/>
        <v>1.4963087248322147</v>
      </c>
      <c r="Q195" s="50">
        <f t="shared" si="5"/>
        <v>21.197879194631685</v>
      </c>
      <c r="R195" s="39" t="s">
        <v>51</v>
      </c>
    </row>
    <row r="196" spans="1:18" x14ac:dyDescent="0.35">
      <c r="A196" s="54">
        <v>1240092</v>
      </c>
      <c r="B196" s="54">
        <v>100942</v>
      </c>
      <c r="C196" s="54" t="s">
        <v>679</v>
      </c>
      <c r="D196" s="51">
        <v>125558.920000004</v>
      </c>
      <c r="E196" s="52">
        <v>0.174814807883961</v>
      </c>
      <c r="F196" s="51">
        <v>125558.920000004</v>
      </c>
      <c r="G196" s="52">
        <v>0.174814807883961</v>
      </c>
      <c r="H196" s="53">
        <v>8160</v>
      </c>
      <c r="I196" s="52">
        <v>5.9327534726729844E-2</v>
      </c>
      <c r="J196" s="53">
        <v>8160</v>
      </c>
      <c r="K196" s="52">
        <v>5.9327534726729844E-2</v>
      </c>
      <c r="L196" s="53">
        <v>4958</v>
      </c>
      <c r="M196" s="52">
        <v>3.0126740078952836E-2</v>
      </c>
      <c r="N196" s="53">
        <v>4958</v>
      </c>
      <c r="O196" s="52">
        <v>3.0126740078952836E-2</v>
      </c>
      <c r="P196" s="51">
        <f t="shared" si="4"/>
        <v>1.6458249294070189</v>
      </c>
      <c r="Q196" s="50">
        <f t="shared" si="5"/>
        <v>25.324509883018152</v>
      </c>
      <c r="R196" s="39" t="s">
        <v>54</v>
      </c>
    </row>
    <row r="197" spans="1:18" x14ac:dyDescent="0.35">
      <c r="A197" s="54">
        <v>1240159</v>
      </c>
      <c r="B197" s="54">
        <v>103777</v>
      </c>
      <c r="C197" s="54" t="s">
        <v>678</v>
      </c>
      <c r="D197" s="51">
        <v>125543.2300000048</v>
      </c>
      <c r="E197" s="52">
        <v>5.4584400914902782E-3</v>
      </c>
      <c r="F197" s="51">
        <v>125543.2300000048</v>
      </c>
      <c r="G197" s="52">
        <v>5.4584400914902782E-3</v>
      </c>
      <c r="H197" s="53">
        <v>7817</v>
      </c>
      <c r="I197" s="52">
        <v>-7.5020707608567036E-2</v>
      </c>
      <c r="J197" s="53">
        <v>7817</v>
      </c>
      <c r="K197" s="52">
        <v>-7.5020707608567036E-2</v>
      </c>
      <c r="L197" s="53">
        <v>5032</v>
      </c>
      <c r="M197" s="52">
        <v>-6.1194029850746269E-2</v>
      </c>
      <c r="N197" s="53">
        <v>5032</v>
      </c>
      <c r="O197" s="52">
        <v>-6.1194029850746269E-2</v>
      </c>
      <c r="P197" s="51">
        <f t="shared" ref="P197:P260" si="6">H197/L197</f>
        <v>1.5534578696343402</v>
      </c>
      <c r="Q197" s="50">
        <f t="shared" ref="Q197:Q260" si="7">D197/L197</f>
        <v>24.948972575517647</v>
      </c>
      <c r="R197" s="39" t="s">
        <v>54</v>
      </c>
    </row>
    <row r="198" spans="1:18" x14ac:dyDescent="0.35">
      <c r="A198" s="54">
        <v>1140001</v>
      </c>
      <c r="B198" s="54">
        <v>100339</v>
      </c>
      <c r="C198" s="54" t="s">
        <v>677</v>
      </c>
      <c r="D198" s="51">
        <v>125225.32000000533</v>
      </c>
      <c r="E198" s="52">
        <v>-7.1224115699671131E-2</v>
      </c>
      <c r="F198" s="51">
        <v>125225.32000000533</v>
      </c>
      <c r="G198" s="52">
        <v>-7.1224115699671131E-2</v>
      </c>
      <c r="H198" s="53">
        <v>7754</v>
      </c>
      <c r="I198" s="52">
        <v>-0.15881970058581038</v>
      </c>
      <c r="J198" s="53">
        <v>7754</v>
      </c>
      <c r="K198" s="52">
        <v>-0.15881970058581038</v>
      </c>
      <c r="L198" s="53">
        <v>5123</v>
      </c>
      <c r="M198" s="52">
        <v>-0.16002623380882111</v>
      </c>
      <c r="N198" s="53">
        <v>5123</v>
      </c>
      <c r="O198" s="52">
        <v>-0.16002623380882111</v>
      </c>
      <c r="P198" s="51">
        <f t="shared" si="6"/>
        <v>1.5135662697638104</v>
      </c>
      <c r="Q198" s="50">
        <f t="shared" si="7"/>
        <v>24.443747804022124</v>
      </c>
      <c r="R198" s="39" t="s">
        <v>54</v>
      </c>
    </row>
    <row r="199" spans="1:18" x14ac:dyDescent="0.35">
      <c r="A199" s="54">
        <v>1240055</v>
      </c>
      <c r="B199" s="54">
        <v>100332</v>
      </c>
      <c r="C199" s="54" t="s">
        <v>676</v>
      </c>
      <c r="D199" s="51">
        <v>124670.89000000399</v>
      </c>
      <c r="E199" s="52">
        <v>9.7192019905814567E-2</v>
      </c>
      <c r="F199" s="51">
        <v>124670.89000000399</v>
      </c>
      <c r="G199" s="52">
        <v>9.7192019905814567E-2</v>
      </c>
      <c r="H199" s="53">
        <v>8441</v>
      </c>
      <c r="I199" s="52">
        <v>-1.7738883632923369E-3</v>
      </c>
      <c r="J199" s="53">
        <v>8441</v>
      </c>
      <c r="K199" s="52">
        <v>-1.7738883632923369E-3</v>
      </c>
      <c r="L199" s="53">
        <v>5053</v>
      </c>
      <c r="M199" s="52">
        <v>-4.727201103013591E-3</v>
      </c>
      <c r="N199" s="53">
        <v>5053</v>
      </c>
      <c r="O199" s="52">
        <v>-4.727201103013591E-3</v>
      </c>
      <c r="P199" s="51">
        <f t="shared" si="6"/>
        <v>1.6704927765683752</v>
      </c>
      <c r="Q199" s="50">
        <f t="shared" si="7"/>
        <v>24.67264793192242</v>
      </c>
      <c r="R199" s="39" t="s">
        <v>54</v>
      </c>
    </row>
    <row r="200" spans="1:18" x14ac:dyDescent="0.35">
      <c r="A200" s="54">
        <v>1230001</v>
      </c>
      <c r="B200" s="54">
        <v>104605</v>
      </c>
      <c r="C200" s="54" t="s">
        <v>675</v>
      </c>
      <c r="D200" s="51">
        <v>124142.08000000509</v>
      </c>
      <c r="E200" s="52">
        <v>5.6365255610784495E-2</v>
      </c>
      <c r="F200" s="51">
        <v>124142.08000000509</v>
      </c>
      <c r="G200" s="52">
        <v>5.6365255610784495E-2</v>
      </c>
      <c r="H200" s="53">
        <v>8230</v>
      </c>
      <c r="I200" s="52">
        <v>-4.9434049434049436E-2</v>
      </c>
      <c r="J200" s="53">
        <v>8230</v>
      </c>
      <c r="K200" s="52">
        <v>-4.9434049434049436E-2</v>
      </c>
      <c r="L200" s="53">
        <v>6215</v>
      </c>
      <c r="M200" s="52">
        <v>-4.6486652347345808E-2</v>
      </c>
      <c r="N200" s="53">
        <v>6215</v>
      </c>
      <c r="O200" s="52">
        <v>-4.6486652347345808E-2</v>
      </c>
      <c r="P200" s="51">
        <f t="shared" si="6"/>
        <v>1.3242156074014482</v>
      </c>
      <c r="Q200" s="50">
        <f t="shared" si="7"/>
        <v>19.974590506839114</v>
      </c>
      <c r="R200" s="39" t="s">
        <v>51</v>
      </c>
    </row>
    <row r="201" spans="1:18" x14ac:dyDescent="0.35">
      <c r="A201" s="54">
        <v>1080002</v>
      </c>
      <c r="B201" s="54">
        <v>103404</v>
      </c>
      <c r="C201" s="54" t="s">
        <v>674</v>
      </c>
      <c r="D201" s="51">
        <v>123133.87000000442</v>
      </c>
      <c r="E201" s="52">
        <v>0.23661484088012574</v>
      </c>
      <c r="F201" s="51">
        <v>123133.87000000442</v>
      </c>
      <c r="G201" s="52">
        <v>0.23661484088012574</v>
      </c>
      <c r="H201" s="53">
        <v>5972</v>
      </c>
      <c r="I201" s="52">
        <v>0.13904253290101087</v>
      </c>
      <c r="J201" s="53">
        <v>5972</v>
      </c>
      <c r="K201" s="52">
        <v>0.13904253290101087</v>
      </c>
      <c r="L201" s="53">
        <v>3806</v>
      </c>
      <c r="M201" s="52">
        <v>0.13004750593824227</v>
      </c>
      <c r="N201" s="53">
        <v>3806</v>
      </c>
      <c r="O201" s="52">
        <v>0.13004750593824227</v>
      </c>
      <c r="P201" s="51">
        <f t="shared" si="6"/>
        <v>1.5691014188124015</v>
      </c>
      <c r="Q201" s="50">
        <f t="shared" si="7"/>
        <v>32.352566999475677</v>
      </c>
      <c r="R201" s="39" t="s">
        <v>54</v>
      </c>
    </row>
    <row r="202" spans="1:18" x14ac:dyDescent="0.35">
      <c r="A202" s="54">
        <v>1240066</v>
      </c>
      <c r="B202" s="54">
        <v>100343</v>
      </c>
      <c r="C202" s="54" t="s">
        <v>673</v>
      </c>
      <c r="D202" s="51">
        <v>122586.06000000361</v>
      </c>
      <c r="E202" s="52">
        <v>-0.21045972571109953</v>
      </c>
      <c r="F202" s="51">
        <v>122586.06000000361</v>
      </c>
      <c r="G202" s="52">
        <v>-0.21045972571109953</v>
      </c>
      <c r="H202" s="53">
        <v>8639</v>
      </c>
      <c r="I202" s="52">
        <v>-0.28455486542443065</v>
      </c>
      <c r="J202" s="53">
        <v>8639</v>
      </c>
      <c r="K202" s="52">
        <v>-0.28455486542443065</v>
      </c>
      <c r="L202" s="53">
        <v>5273</v>
      </c>
      <c r="M202" s="52">
        <v>-0.27248896247240617</v>
      </c>
      <c r="N202" s="53">
        <v>5273</v>
      </c>
      <c r="O202" s="52">
        <v>-0.27248896247240617</v>
      </c>
      <c r="P202" s="51">
        <f t="shared" si="6"/>
        <v>1.63834629243315</v>
      </c>
      <c r="Q202" s="50">
        <f t="shared" si="7"/>
        <v>23.247877868386801</v>
      </c>
      <c r="R202" s="39" t="s">
        <v>54</v>
      </c>
    </row>
    <row r="203" spans="1:18" x14ac:dyDescent="0.35">
      <c r="A203" s="54">
        <v>1240359</v>
      </c>
      <c r="B203" s="54">
        <v>106717</v>
      </c>
      <c r="C203" s="54" t="s">
        <v>672</v>
      </c>
      <c r="D203" s="51">
        <v>122403.91000000434</v>
      </c>
      <c r="E203" s="52">
        <v>0.12217809644338692</v>
      </c>
      <c r="F203" s="51">
        <v>122403.91000000434</v>
      </c>
      <c r="G203" s="52">
        <v>0.12217809644338692</v>
      </c>
      <c r="H203" s="53">
        <v>7911.99</v>
      </c>
      <c r="I203" s="52">
        <v>2.9135015608740867E-2</v>
      </c>
      <c r="J203" s="53">
        <v>7911.99</v>
      </c>
      <c r="K203" s="52">
        <v>2.9135015608740867E-2</v>
      </c>
      <c r="L203" s="53">
        <v>5196</v>
      </c>
      <c r="M203" s="52">
        <v>4.7158403869407499E-2</v>
      </c>
      <c r="N203" s="53">
        <v>5196</v>
      </c>
      <c r="O203" s="52">
        <v>4.7158403869407499E-2</v>
      </c>
      <c r="P203" s="51">
        <f t="shared" si="6"/>
        <v>1.5227078521939954</v>
      </c>
      <c r="Q203" s="50">
        <f t="shared" si="7"/>
        <v>23.55733448806858</v>
      </c>
      <c r="R203" s="39" t="s">
        <v>54</v>
      </c>
    </row>
    <row r="204" spans="1:18" x14ac:dyDescent="0.35">
      <c r="A204" s="54">
        <v>1250003</v>
      </c>
      <c r="B204" s="54">
        <v>104844</v>
      </c>
      <c r="C204" s="54" t="s">
        <v>671</v>
      </c>
      <c r="D204" s="51">
        <v>122333.32000000414</v>
      </c>
      <c r="E204" s="52">
        <v>0.11610222755480319</v>
      </c>
      <c r="F204" s="51">
        <v>122333.32000000414</v>
      </c>
      <c r="G204" s="52">
        <v>0.11610222755480319</v>
      </c>
      <c r="H204" s="53">
        <v>7649</v>
      </c>
      <c r="I204" s="52">
        <v>7.9061799973646069E-3</v>
      </c>
      <c r="J204" s="53">
        <v>7649</v>
      </c>
      <c r="K204" s="52">
        <v>7.9061799973646069E-3</v>
      </c>
      <c r="L204" s="53">
        <v>5134</v>
      </c>
      <c r="M204" s="52">
        <v>5.2912223133716157E-2</v>
      </c>
      <c r="N204" s="53">
        <v>5134</v>
      </c>
      <c r="O204" s="52">
        <v>5.2912223133716157E-2</v>
      </c>
      <c r="P204" s="51">
        <f t="shared" si="6"/>
        <v>1.4898714452668484</v>
      </c>
      <c r="Q204" s="50">
        <f t="shared" si="7"/>
        <v>23.828071679003532</v>
      </c>
      <c r="R204" s="39" t="s">
        <v>51</v>
      </c>
    </row>
    <row r="205" spans="1:18" x14ac:dyDescent="0.35">
      <c r="A205" s="54">
        <v>1130007</v>
      </c>
      <c r="B205" s="54">
        <v>103379</v>
      </c>
      <c r="C205" s="54" t="s">
        <v>670</v>
      </c>
      <c r="D205" s="51">
        <v>122100.85000000465</v>
      </c>
      <c r="E205" s="52">
        <v>0.16134520313082665</v>
      </c>
      <c r="F205" s="51">
        <v>122100.85000000465</v>
      </c>
      <c r="G205" s="52">
        <v>0.16134520313082665</v>
      </c>
      <c r="H205" s="53">
        <v>7127</v>
      </c>
      <c r="I205" s="52">
        <v>1.8724985706117782E-2</v>
      </c>
      <c r="J205" s="53">
        <v>7127</v>
      </c>
      <c r="K205" s="52">
        <v>1.8724985706117782E-2</v>
      </c>
      <c r="L205" s="53">
        <v>5160</v>
      </c>
      <c r="M205" s="52">
        <v>6.9430051813471505E-2</v>
      </c>
      <c r="N205" s="53">
        <v>5160</v>
      </c>
      <c r="O205" s="52">
        <v>6.9430051813471505E-2</v>
      </c>
      <c r="P205" s="51">
        <f t="shared" si="6"/>
        <v>1.381201550387597</v>
      </c>
      <c r="Q205" s="50">
        <f t="shared" si="7"/>
        <v>23.662955426357488</v>
      </c>
      <c r="R205" s="39" t="s">
        <v>51</v>
      </c>
    </row>
    <row r="206" spans="1:18" x14ac:dyDescent="0.35">
      <c r="A206" s="54">
        <v>1240398</v>
      </c>
      <c r="B206" s="54">
        <v>107013</v>
      </c>
      <c r="C206" s="54" t="s">
        <v>669</v>
      </c>
      <c r="D206" s="51">
        <v>121813.04000000318</v>
      </c>
      <c r="E206" s="52">
        <v>0.41970824272691887</v>
      </c>
      <c r="F206" s="51">
        <v>121813.04000000318</v>
      </c>
      <c r="G206" s="52">
        <v>0.41970824272691887</v>
      </c>
      <c r="H206" s="53">
        <v>8482</v>
      </c>
      <c r="I206" s="52">
        <v>0.27548872180451128</v>
      </c>
      <c r="J206" s="53">
        <v>8482</v>
      </c>
      <c r="K206" s="52">
        <v>0.27548872180451128</v>
      </c>
      <c r="L206" s="53">
        <v>5372</v>
      </c>
      <c r="M206" s="52">
        <v>0.38239835306227482</v>
      </c>
      <c r="N206" s="53">
        <v>5372</v>
      </c>
      <c r="O206" s="52">
        <v>0.38239835306227482</v>
      </c>
      <c r="P206" s="51">
        <f t="shared" si="6"/>
        <v>1.578927773641102</v>
      </c>
      <c r="Q206" s="50">
        <f t="shared" si="7"/>
        <v>22.675547282204612</v>
      </c>
      <c r="R206" s="39" t="s">
        <v>54</v>
      </c>
    </row>
    <row r="207" spans="1:18" x14ac:dyDescent="0.35">
      <c r="A207" s="54">
        <v>1240382</v>
      </c>
      <c r="B207" s="54">
        <v>106902</v>
      </c>
      <c r="C207" s="54" t="s">
        <v>668</v>
      </c>
      <c r="D207" s="51">
        <v>120458.27000000398</v>
      </c>
      <c r="E207" s="52">
        <v>0.14042371619309746</v>
      </c>
      <c r="F207" s="51">
        <v>120458.27000000398</v>
      </c>
      <c r="G207" s="52">
        <v>0.14042371619309746</v>
      </c>
      <c r="H207" s="53">
        <v>8268</v>
      </c>
      <c r="I207" s="52">
        <v>4.6582278481012658E-2</v>
      </c>
      <c r="J207" s="53">
        <v>8268</v>
      </c>
      <c r="K207" s="52">
        <v>4.6582278481012658E-2</v>
      </c>
      <c r="L207" s="53">
        <v>5530</v>
      </c>
      <c r="M207" s="52">
        <v>2.3505459929668703E-2</v>
      </c>
      <c r="N207" s="53">
        <v>5530</v>
      </c>
      <c r="O207" s="52">
        <v>2.3505459929668703E-2</v>
      </c>
      <c r="P207" s="51">
        <f t="shared" si="6"/>
        <v>1.4951175406871609</v>
      </c>
      <c r="Q207" s="50">
        <f t="shared" si="7"/>
        <v>21.782688969259308</v>
      </c>
      <c r="R207" s="39" t="s">
        <v>51</v>
      </c>
    </row>
    <row r="208" spans="1:18" x14ac:dyDescent="0.35">
      <c r="A208" s="54">
        <v>1240088</v>
      </c>
      <c r="B208" s="54">
        <v>100547</v>
      </c>
      <c r="C208" s="54" t="s">
        <v>667</v>
      </c>
      <c r="D208" s="51">
        <v>120377.07000000423</v>
      </c>
      <c r="E208" s="52">
        <v>0.30838582909097662</v>
      </c>
      <c r="F208" s="51">
        <v>120377.07000000423</v>
      </c>
      <c r="G208" s="52">
        <v>0.30838582909097662</v>
      </c>
      <c r="H208" s="53">
        <v>7807</v>
      </c>
      <c r="I208" s="52">
        <v>0.23294377763739735</v>
      </c>
      <c r="J208" s="53">
        <v>7807</v>
      </c>
      <c r="K208" s="52">
        <v>0.23294377763739735</v>
      </c>
      <c r="L208" s="53">
        <v>5147</v>
      </c>
      <c r="M208" s="52">
        <v>0.25997552019583842</v>
      </c>
      <c r="N208" s="53">
        <v>5147</v>
      </c>
      <c r="O208" s="52">
        <v>0.25997552019583842</v>
      </c>
      <c r="P208" s="51">
        <f t="shared" si="6"/>
        <v>1.5168059063532155</v>
      </c>
      <c r="Q208" s="50">
        <f t="shared" si="7"/>
        <v>23.387812317855882</v>
      </c>
      <c r="R208" s="39" t="s">
        <v>54</v>
      </c>
    </row>
    <row r="209" spans="1:18" x14ac:dyDescent="0.35">
      <c r="A209" s="54">
        <v>1190011</v>
      </c>
      <c r="B209" s="54">
        <v>104201</v>
      </c>
      <c r="C209" s="54" t="s">
        <v>666</v>
      </c>
      <c r="D209" s="51">
        <v>120205.23000000489</v>
      </c>
      <c r="E209" s="52">
        <v>0.34227522948896305</v>
      </c>
      <c r="F209" s="51">
        <v>120205.23000000489</v>
      </c>
      <c r="G209" s="52">
        <v>0.34227522948896305</v>
      </c>
      <c r="H209" s="53">
        <v>6390</v>
      </c>
      <c r="I209" s="52">
        <v>0.17290748898678415</v>
      </c>
      <c r="J209" s="53">
        <v>6390</v>
      </c>
      <c r="K209" s="52">
        <v>0.17290748898678415</v>
      </c>
      <c r="L209" s="53">
        <v>4757</v>
      </c>
      <c r="M209" s="52">
        <v>0.19402610441767068</v>
      </c>
      <c r="N209" s="53">
        <v>4757</v>
      </c>
      <c r="O209" s="52">
        <v>0.19402610441767068</v>
      </c>
      <c r="P209" s="51">
        <f t="shared" si="6"/>
        <v>1.3432835820895523</v>
      </c>
      <c r="Q209" s="50">
        <f t="shared" si="7"/>
        <v>25.269125499265268</v>
      </c>
      <c r="R209" s="39" t="s">
        <v>51</v>
      </c>
    </row>
    <row r="210" spans="1:18" x14ac:dyDescent="0.35">
      <c r="A210" s="54">
        <v>1160003</v>
      </c>
      <c r="B210" s="54">
        <v>107077</v>
      </c>
      <c r="C210" s="54" t="s">
        <v>665</v>
      </c>
      <c r="D210" s="51">
        <v>119740.85000000452</v>
      </c>
      <c r="E210" s="52">
        <v>0.16736336856524658</v>
      </c>
      <c r="F210" s="51">
        <v>119740.85000000452</v>
      </c>
      <c r="G210" s="52">
        <v>0.16736336856524658</v>
      </c>
      <c r="H210" s="53">
        <v>7475.9999000000007</v>
      </c>
      <c r="I210" s="52">
        <v>6.2384524655393021E-2</v>
      </c>
      <c r="J210" s="53">
        <v>7475.9999000000007</v>
      </c>
      <c r="K210" s="52">
        <v>6.2384524655393021E-2</v>
      </c>
      <c r="L210" s="53">
        <v>5087</v>
      </c>
      <c r="M210" s="52">
        <v>7.4113175675675672E-2</v>
      </c>
      <c r="N210" s="53">
        <v>5087</v>
      </c>
      <c r="O210" s="52">
        <v>7.4113175675675672E-2</v>
      </c>
      <c r="P210" s="51">
        <f t="shared" si="6"/>
        <v>1.4696284450560253</v>
      </c>
      <c r="Q210" s="50">
        <f t="shared" si="7"/>
        <v>23.538598388048854</v>
      </c>
      <c r="R210" s="39" t="s">
        <v>51</v>
      </c>
    </row>
    <row r="211" spans="1:18" x14ac:dyDescent="0.35">
      <c r="A211" s="54">
        <v>1240106</v>
      </c>
      <c r="B211" s="54">
        <v>100657</v>
      </c>
      <c r="C211" s="54" t="s">
        <v>664</v>
      </c>
      <c r="D211" s="51">
        <v>119612.90000000309</v>
      </c>
      <c r="E211" s="52">
        <v>6.7478898369937937E-2</v>
      </c>
      <c r="F211" s="51">
        <v>119612.90000000309</v>
      </c>
      <c r="G211" s="52">
        <v>6.7478898369937937E-2</v>
      </c>
      <c r="H211" s="53">
        <v>8126</v>
      </c>
      <c r="I211" s="52">
        <v>-4.0840415486307839E-2</v>
      </c>
      <c r="J211" s="53">
        <v>8126</v>
      </c>
      <c r="K211" s="52">
        <v>-4.0840415486307839E-2</v>
      </c>
      <c r="L211" s="53">
        <v>5401</v>
      </c>
      <c r="M211" s="52">
        <v>-1.38762096037977E-2</v>
      </c>
      <c r="N211" s="53">
        <v>5401</v>
      </c>
      <c r="O211" s="52">
        <v>-1.38762096037977E-2</v>
      </c>
      <c r="P211" s="51">
        <f t="shared" si="6"/>
        <v>1.5045361970005555</v>
      </c>
      <c r="Q211" s="50">
        <f t="shared" si="7"/>
        <v>22.146435845214423</v>
      </c>
      <c r="R211" s="39" t="s">
        <v>54</v>
      </c>
    </row>
    <row r="212" spans="1:18" x14ac:dyDescent="0.35">
      <c r="A212" s="54">
        <v>1240310</v>
      </c>
      <c r="B212" s="54">
        <v>104889</v>
      </c>
      <c r="C212" s="54" t="s">
        <v>663</v>
      </c>
      <c r="D212" s="51">
        <v>119070.44000000424</v>
      </c>
      <c r="E212" s="52">
        <v>0.22724816872000231</v>
      </c>
      <c r="F212" s="51">
        <v>119070.44000000424</v>
      </c>
      <c r="G212" s="52">
        <v>0.22724816872000231</v>
      </c>
      <c r="H212" s="53">
        <v>7305</v>
      </c>
      <c r="I212" s="52">
        <v>0.11204140660678946</v>
      </c>
      <c r="J212" s="53">
        <v>7305</v>
      </c>
      <c r="K212" s="52">
        <v>0.11204140660678946</v>
      </c>
      <c r="L212" s="53">
        <v>5049</v>
      </c>
      <c r="M212" s="52">
        <v>0.10408921933085502</v>
      </c>
      <c r="N212" s="53">
        <v>5049</v>
      </c>
      <c r="O212" s="52">
        <v>0.10408921933085502</v>
      </c>
      <c r="P212" s="51">
        <f t="shared" si="6"/>
        <v>1.4468211527035058</v>
      </c>
      <c r="Q212" s="50">
        <f t="shared" si="7"/>
        <v>23.582974846505099</v>
      </c>
      <c r="R212" s="39" t="s">
        <v>51</v>
      </c>
    </row>
    <row r="213" spans="1:18" x14ac:dyDescent="0.35">
      <c r="A213" s="54">
        <v>1240060</v>
      </c>
      <c r="B213" s="54">
        <v>100643</v>
      </c>
      <c r="C213" s="54" t="s">
        <v>662</v>
      </c>
      <c r="D213" s="51">
        <v>118803.0700000022</v>
      </c>
      <c r="E213" s="52">
        <v>-9.9299579471706492E-2</v>
      </c>
      <c r="F213" s="51">
        <v>118803.0700000022</v>
      </c>
      <c r="G213" s="52">
        <v>-9.9299579471706492E-2</v>
      </c>
      <c r="H213" s="53">
        <v>8383</v>
      </c>
      <c r="I213" s="52">
        <v>-0.18816579508037962</v>
      </c>
      <c r="J213" s="53">
        <v>8383</v>
      </c>
      <c r="K213" s="52">
        <v>-0.18816579508037962</v>
      </c>
      <c r="L213" s="53">
        <v>5136</v>
      </c>
      <c r="M213" s="52">
        <v>-0.15996074582924436</v>
      </c>
      <c r="N213" s="53">
        <v>5136</v>
      </c>
      <c r="O213" s="52">
        <v>-0.15996074582924436</v>
      </c>
      <c r="P213" s="51">
        <f t="shared" si="6"/>
        <v>1.6322040498442367</v>
      </c>
      <c r="Q213" s="50">
        <f t="shared" si="7"/>
        <v>23.131438862928778</v>
      </c>
      <c r="R213" s="39" t="s">
        <v>54</v>
      </c>
    </row>
    <row r="214" spans="1:18" x14ac:dyDescent="0.35">
      <c r="A214" s="54">
        <v>1240167</v>
      </c>
      <c r="B214" s="54">
        <v>101122</v>
      </c>
      <c r="C214" s="54" t="s">
        <v>661</v>
      </c>
      <c r="D214" s="51">
        <v>118660.71000000459</v>
      </c>
      <c r="E214" s="52">
        <v>9.1183034513516587E-2</v>
      </c>
      <c r="F214" s="51">
        <v>118660.71000000459</v>
      </c>
      <c r="G214" s="52">
        <v>9.1183034513516587E-2</v>
      </c>
      <c r="H214" s="53">
        <v>7612</v>
      </c>
      <c r="I214" s="52">
        <v>1.7107514146598236E-3</v>
      </c>
      <c r="J214" s="53">
        <v>7612</v>
      </c>
      <c r="K214" s="52">
        <v>1.7107514146598236E-3</v>
      </c>
      <c r="L214" s="53">
        <v>5071</v>
      </c>
      <c r="M214" s="52">
        <v>5.9194948697711134E-4</v>
      </c>
      <c r="N214" s="53">
        <v>5071</v>
      </c>
      <c r="O214" s="52">
        <v>5.9194948697711134E-4</v>
      </c>
      <c r="P214" s="51">
        <f t="shared" si="6"/>
        <v>1.5010845986984815</v>
      </c>
      <c r="Q214" s="50">
        <f t="shared" si="7"/>
        <v>23.399863932164187</v>
      </c>
      <c r="R214" s="39" t="s">
        <v>54</v>
      </c>
    </row>
    <row r="215" spans="1:18" x14ac:dyDescent="0.35">
      <c r="A215" s="54">
        <v>1230056</v>
      </c>
      <c r="B215" s="54">
        <v>102485</v>
      </c>
      <c r="C215" s="54" t="s">
        <v>660</v>
      </c>
      <c r="D215" s="51">
        <v>118246.66000000434</v>
      </c>
      <c r="E215" s="52">
        <v>-4.4765222106213844E-2</v>
      </c>
      <c r="F215" s="51">
        <v>118246.66000000434</v>
      </c>
      <c r="G215" s="52">
        <v>-4.4765222106213844E-2</v>
      </c>
      <c r="H215" s="53">
        <v>7849</v>
      </c>
      <c r="I215" s="52">
        <v>-0.12972613371770705</v>
      </c>
      <c r="J215" s="53">
        <v>7849</v>
      </c>
      <c r="K215" s="52">
        <v>-0.12972613371770705</v>
      </c>
      <c r="L215" s="53">
        <v>5429</v>
      </c>
      <c r="M215" s="52">
        <v>-0.11276352345154438</v>
      </c>
      <c r="N215" s="53">
        <v>5429</v>
      </c>
      <c r="O215" s="52">
        <v>-0.11276352345154438</v>
      </c>
      <c r="P215" s="51">
        <f t="shared" si="6"/>
        <v>1.4457542825566403</v>
      </c>
      <c r="Q215" s="50">
        <f t="shared" si="7"/>
        <v>21.780559955793763</v>
      </c>
      <c r="R215" s="39" t="s">
        <v>51</v>
      </c>
    </row>
    <row r="216" spans="1:18" x14ac:dyDescent="0.35">
      <c r="A216" s="54">
        <v>1260016</v>
      </c>
      <c r="B216" s="54">
        <v>102358</v>
      </c>
      <c r="C216" s="54" t="s">
        <v>659</v>
      </c>
      <c r="D216" s="51">
        <v>117883.34000000406</v>
      </c>
      <c r="E216" s="52">
        <v>0.1761332333229621</v>
      </c>
      <c r="F216" s="51">
        <v>117883.34000000406</v>
      </c>
      <c r="G216" s="52">
        <v>0.1761332333229621</v>
      </c>
      <c r="H216" s="53">
        <v>7691</v>
      </c>
      <c r="I216" s="52">
        <v>8.5992657441400736E-2</v>
      </c>
      <c r="J216" s="53">
        <v>7691</v>
      </c>
      <c r="K216" s="52">
        <v>8.5992657441400736E-2</v>
      </c>
      <c r="L216" s="53">
        <v>4776</v>
      </c>
      <c r="M216" s="52">
        <v>4.7598157490677778E-2</v>
      </c>
      <c r="N216" s="53">
        <v>4776</v>
      </c>
      <c r="O216" s="52">
        <v>4.7598157490677778E-2</v>
      </c>
      <c r="P216" s="51">
        <f t="shared" si="6"/>
        <v>1.6103433835845895</v>
      </c>
      <c r="Q216" s="50">
        <f t="shared" si="7"/>
        <v>24.682441373535188</v>
      </c>
      <c r="R216" s="39" t="s">
        <v>54</v>
      </c>
    </row>
    <row r="217" spans="1:18" x14ac:dyDescent="0.35">
      <c r="A217" s="54">
        <v>1210001</v>
      </c>
      <c r="B217" s="54">
        <v>104616</v>
      </c>
      <c r="C217" s="54" t="s">
        <v>658</v>
      </c>
      <c r="D217" s="51">
        <v>117755.69000000306</v>
      </c>
      <c r="E217" s="52">
        <v>-3.5615634867555014E-2</v>
      </c>
      <c r="F217" s="51">
        <v>117755.69000000306</v>
      </c>
      <c r="G217" s="52">
        <v>-3.5615634867555014E-2</v>
      </c>
      <c r="H217" s="53">
        <v>7100</v>
      </c>
      <c r="I217" s="52">
        <v>-0.10024078063616779</v>
      </c>
      <c r="J217" s="53">
        <v>7100</v>
      </c>
      <c r="K217" s="52">
        <v>-0.10024078063616779</v>
      </c>
      <c r="L217" s="53">
        <v>5058</v>
      </c>
      <c r="M217" s="52">
        <v>-9.7430406852248394E-2</v>
      </c>
      <c r="N217" s="53">
        <v>5058</v>
      </c>
      <c r="O217" s="52">
        <v>-9.7430406852248394E-2</v>
      </c>
      <c r="P217" s="51">
        <f t="shared" si="6"/>
        <v>1.4037168841439305</v>
      </c>
      <c r="Q217" s="50">
        <f t="shared" si="7"/>
        <v>23.281077500989138</v>
      </c>
      <c r="R217" s="39" t="s">
        <v>51</v>
      </c>
    </row>
    <row r="218" spans="1:18" x14ac:dyDescent="0.35">
      <c r="A218" s="54">
        <v>1210062</v>
      </c>
      <c r="B218" s="54">
        <v>105579</v>
      </c>
      <c r="C218" s="54" t="s">
        <v>657</v>
      </c>
      <c r="D218" s="51">
        <v>117679.46000000057</v>
      </c>
      <c r="E218" s="52"/>
      <c r="F218" s="51">
        <v>117679.46000000057</v>
      </c>
      <c r="G218" s="52"/>
      <c r="H218" s="53">
        <v>6235</v>
      </c>
      <c r="I218" s="52" t="s">
        <v>52</v>
      </c>
      <c r="J218" s="53">
        <v>6235</v>
      </c>
      <c r="K218" s="52"/>
      <c r="L218" s="53">
        <v>4872</v>
      </c>
      <c r="M218" s="52" t="s">
        <v>52</v>
      </c>
      <c r="N218" s="53">
        <v>4872</v>
      </c>
      <c r="O218" s="52"/>
      <c r="P218" s="51">
        <f t="shared" si="6"/>
        <v>1.2797619047619047</v>
      </c>
      <c r="Q218" s="50">
        <f t="shared" si="7"/>
        <v>24.1542405582924</v>
      </c>
      <c r="R218" s="39" t="s">
        <v>51</v>
      </c>
    </row>
    <row r="219" spans="1:18" x14ac:dyDescent="0.35">
      <c r="A219" s="54">
        <v>1240256</v>
      </c>
      <c r="B219" s="54">
        <v>104674</v>
      </c>
      <c r="C219" s="54" t="s">
        <v>656</v>
      </c>
      <c r="D219" s="51">
        <v>117073.71000000437</v>
      </c>
      <c r="E219" s="52">
        <v>5.6263678799214574E-2</v>
      </c>
      <c r="F219" s="51">
        <v>117073.71000000437</v>
      </c>
      <c r="G219" s="52">
        <v>5.6263678799214574E-2</v>
      </c>
      <c r="H219" s="53">
        <v>6977</v>
      </c>
      <c r="I219" s="52">
        <v>-5.9196332254584684E-2</v>
      </c>
      <c r="J219" s="53">
        <v>6977</v>
      </c>
      <c r="K219" s="52">
        <v>-5.9196332254584684E-2</v>
      </c>
      <c r="L219" s="53">
        <v>4517</v>
      </c>
      <c r="M219" s="52">
        <v>-5.2841266512895786E-2</v>
      </c>
      <c r="N219" s="53">
        <v>4517</v>
      </c>
      <c r="O219" s="52">
        <v>-5.2841266512895786E-2</v>
      </c>
      <c r="P219" s="51">
        <f t="shared" si="6"/>
        <v>1.5446092539295992</v>
      </c>
      <c r="Q219" s="50">
        <f t="shared" si="7"/>
        <v>25.91846579588319</v>
      </c>
      <c r="R219" s="39" t="s">
        <v>54</v>
      </c>
    </row>
    <row r="220" spans="1:18" x14ac:dyDescent="0.35">
      <c r="A220" s="54">
        <v>1210008</v>
      </c>
      <c r="B220" s="54">
        <v>100256</v>
      </c>
      <c r="C220" s="54" t="s">
        <v>655</v>
      </c>
      <c r="D220" s="51">
        <v>116541.53000000458</v>
      </c>
      <c r="E220" s="52">
        <v>0.10536334145797101</v>
      </c>
      <c r="F220" s="51">
        <v>116541.53000000458</v>
      </c>
      <c r="G220" s="52">
        <v>0.10536334145797101</v>
      </c>
      <c r="H220" s="53">
        <v>7029</v>
      </c>
      <c r="I220" s="52">
        <v>-3.8265306122448979E-3</v>
      </c>
      <c r="J220" s="53">
        <v>7029</v>
      </c>
      <c r="K220" s="52">
        <v>-3.8265306122448979E-3</v>
      </c>
      <c r="L220" s="53">
        <v>4760</v>
      </c>
      <c r="M220" s="52">
        <v>-1.0600706713780919E-2</v>
      </c>
      <c r="N220" s="53">
        <v>4760</v>
      </c>
      <c r="O220" s="52">
        <v>-1.0600706713780919E-2</v>
      </c>
      <c r="P220" s="51">
        <f t="shared" si="6"/>
        <v>1.4766806722689076</v>
      </c>
      <c r="Q220" s="50">
        <f t="shared" si="7"/>
        <v>24.483514705883316</v>
      </c>
      <c r="R220" s="39" t="s">
        <v>51</v>
      </c>
    </row>
    <row r="221" spans="1:18" x14ac:dyDescent="0.35">
      <c r="A221" s="54">
        <v>1230071</v>
      </c>
      <c r="B221" s="54">
        <v>103425</v>
      </c>
      <c r="C221" s="54" t="s">
        <v>654</v>
      </c>
      <c r="D221" s="51">
        <v>114762.58000000325</v>
      </c>
      <c r="E221" s="52">
        <v>0.2132936184897081</v>
      </c>
      <c r="F221" s="51">
        <v>114762.58000000325</v>
      </c>
      <c r="G221" s="52">
        <v>0.2132936184897081</v>
      </c>
      <c r="H221" s="53">
        <v>6928</v>
      </c>
      <c r="I221" s="52">
        <v>6.3228974831184781E-2</v>
      </c>
      <c r="J221" s="53">
        <v>6928</v>
      </c>
      <c r="K221" s="52">
        <v>6.3228974831184781E-2</v>
      </c>
      <c r="L221" s="53">
        <v>4503</v>
      </c>
      <c r="M221" s="52">
        <v>3.3509295386733993E-2</v>
      </c>
      <c r="N221" s="53">
        <v>4503</v>
      </c>
      <c r="O221" s="52">
        <v>3.3509295386733993E-2</v>
      </c>
      <c r="P221" s="51">
        <f t="shared" si="6"/>
        <v>1.5385298689762381</v>
      </c>
      <c r="Q221" s="50">
        <f t="shared" si="7"/>
        <v>25.485805018877027</v>
      </c>
      <c r="R221" s="39" t="s">
        <v>54</v>
      </c>
    </row>
    <row r="222" spans="1:18" x14ac:dyDescent="0.35">
      <c r="A222" s="54">
        <v>1200015</v>
      </c>
      <c r="B222" s="54">
        <v>104484</v>
      </c>
      <c r="C222" s="54" t="s">
        <v>653</v>
      </c>
      <c r="D222" s="51">
        <v>114724.14000000275</v>
      </c>
      <c r="E222" s="52">
        <v>0.11899134451634721</v>
      </c>
      <c r="F222" s="51">
        <v>114724.14000000275</v>
      </c>
      <c r="G222" s="52">
        <v>0.11899134451634721</v>
      </c>
      <c r="H222" s="53">
        <v>6880</v>
      </c>
      <c r="I222" s="52">
        <v>2.3200475907198096E-2</v>
      </c>
      <c r="J222" s="53">
        <v>6880</v>
      </c>
      <c r="K222" s="52">
        <v>2.3200475907198096E-2</v>
      </c>
      <c r="L222" s="53">
        <v>4256</v>
      </c>
      <c r="M222" s="52">
        <v>2.0623501199040769E-2</v>
      </c>
      <c r="N222" s="53">
        <v>4256</v>
      </c>
      <c r="O222" s="52">
        <v>2.0623501199040769E-2</v>
      </c>
      <c r="P222" s="51">
        <f t="shared" si="6"/>
        <v>1.6165413533834587</v>
      </c>
      <c r="Q222" s="50">
        <f t="shared" si="7"/>
        <v>26.955859962406659</v>
      </c>
      <c r="R222" s="39" t="s">
        <v>54</v>
      </c>
    </row>
    <row r="223" spans="1:18" x14ac:dyDescent="0.35">
      <c r="A223" s="54">
        <v>1230039</v>
      </c>
      <c r="B223" s="54">
        <v>102312</v>
      </c>
      <c r="C223" s="54" t="s">
        <v>652</v>
      </c>
      <c r="D223" s="51">
        <v>114578.56000000339</v>
      </c>
      <c r="E223" s="52">
        <v>-1.0218341252620243E-2</v>
      </c>
      <c r="F223" s="51">
        <v>114578.56000000339</v>
      </c>
      <c r="G223" s="52">
        <v>-1.0218341252620243E-2</v>
      </c>
      <c r="H223" s="53">
        <v>7707</v>
      </c>
      <c r="I223" s="52">
        <v>-9.7118088097469538E-2</v>
      </c>
      <c r="J223" s="53">
        <v>7707</v>
      </c>
      <c r="K223" s="52">
        <v>-9.7118088097469538E-2</v>
      </c>
      <c r="L223" s="53">
        <v>5185</v>
      </c>
      <c r="M223" s="52">
        <v>-8.3274398868458277E-2</v>
      </c>
      <c r="N223" s="53">
        <v>5185</v>
      </c>
      <c r="O223" s="52">
        <v>-8.3274398868458277E-2</v>
      </c>
      <c r="P223" s="51">
        <f t="shared" si="6"/>
        <v>1.4864030858244937</v>
      </c>
      <c r="Q223" s="50">
        <f t="shared" si="7"/>
        <v>22.098082931533924</v>
      </c>
      <c r="R223" s="39" t="s">
        <v>51</v>
      </c>
    </row>
    <row r="224" spans="1:18" x14ac:dyDescent="0.35">
      <c r="A224" s="54">
        <v>1240369</v>
      </c>
      <c r="B224" s="54">
        <v>106723</v>
      </c>
      <c r="C224" s="54" t="s">
        <v>651</v>
      </c>
      <c r="D224" s="51">
        <v>114191.42000000348</v>
      </c>
      <c r="E224" s="52">
        <v>0.16642558386185327</v>
      </c>
      <c r="F224" s="51">
        <v>114191.42000000348</v>
      </c>
      <c r="G224" s="52">
        <v>0.16642558386185327</v>
      </c>
      <c r="H224" s="53">
        <v>7321</v>
      </c>
      <c r="I224" s="52">
        <v>6.4098837209302331E-2</v>
      </c>
      <c r="J224" s="53">
        <v>7321</v>
      </c>
      <c r="K224" s="52">
        <v>6.4098837209302331E-2</v>
      </c>
      <c r="L224" s="53">
        <v>4928</v>
      </c>
      <c r="M224" s="52">
        <v>7.7393965894184527E-2</v>
      </c>
      <c r="N224" s="53">
        <v>4928</v>
      </c>
      <c r="O224" s="52">
        <v>7.7393965894184527E-2</v>
      </c>
      <c r="P224" s="51">
        <f t="shared" si="6"/>
        <v>1.4855925324675325</v>
      </c>
      <c r="Q224" s="50">
        <f t="shared" si="7"/>
        <v>23.171960227273434</v>
      </c>
      <c r="R224" s="39" t="s">
        <v>51</v>
      </c>
    </row>
    <row r="225" spans="1:18" x14ac:dyDescent="0.35">
      <c r="A225" s="54">
        <v>1240179</v>
      </c>
      <c r="B225" s="54">
        <v>104589</v>
      </c>
      <c r="C225" s="54" t="s">
        <v>650</v>
      </c>
      <c r="D225" s="51">
        <v>114094.18000000225</v>
      </c>
      <c r="E225" s="52">
        <v>-4.5444752987235298E-2</v>
      </c>
      <c r="F225" s="51">
        <v>114094.18000000225</v>
      </c>
      <c r="G225" s="52">
        <v>-4.5444752987235298E-2</v>
      </c>
      <c r="H225" s="53">
        <v>7544</v>
      </c>
      <c r="I225" s="52">
        <v>-0.12888847832613573</v>
      </c>
      <c r="J225" s="53">
        <v>7544</v>
      </c>
      <c r="K225" s="52">
        <v>-0.12888847832613573</v>
      </c>
      <c r="L225" s="53">
        <v>4658</v>
      </c>
      <c r="M225" s="52">
        <v>-0.12328251458686242</v>
      </c>
      <c r="N225" s="53">
        <v>4658</v>
      </c>
      <c r="O225" s="52">
        <v>-0.12328251458686242</v>
      </c>
      <c r="P225" s="51">
        <f t="shared" si="6"/>
        <v>1.6195792185487334</v>
      </c>
      <c r="Q225" s="50">
        <f t="shared" si="7"/>
        <v>24.494242164019376</v>
      </c>
      <c r="R225" s="39" t="s">
        <v>54</v>
      </c>
    </row>
    <row r="226" spans="1:18" x14ac:dyDescent="0.35">
      <c r="A226" s="54">
        <v>1230082</v>
      </c>
      <c r="B226" s="54">
        <v>104213</v>
      </c>
      <c r="C226" s="54" t="s">
        <v>649</v>
      </c>
      <c r="D226" s="51">
        <v>113636.71000000376</v>
      </c>
      <c r="E226" s="52">
        <v>2.6584372519648E-2</v>
      </c>
      <c r="F226" s="51">
        <v>113636.71000000376</v>
      </c>
      <c r="G226" s="52">
        <v>2.6584372519648E-2</v>
      </c>
      <c r="H226" s="53">
        <v>7522</v>
      </c>
      <c r="I226" s="52">
        <v>-5.0492299924261547E-2</v>
      </c>
      <c r="J226" s="53">
        <v>7522</v>
      </c>
      <c r="K226" s="52">
        <v>-5.0492299924261547E-2</v>
      </c>
      <c r="L226" s="53">
        <v>5179</v>
      </c>
      <c r="M226" s="52">
        <v>-5.9560559288178681E-2</v>
      </c>
      <c r="N226" s="53">
        <v>5179</v>
      </c>
      <c r="O226" s="52">
        <v>-5.9560559288178681E-2</v>
      </c>
      <c r="P226" s="51">
        <f t="shared" si="6"/>
        <v>1.4524039389843599</v>
      </c>
      <c r="Q226" s="50">
        <f t="shared" si="7"/>
        <v>21.941824676579216</v>
      </c>
      <c r="R226" s="39" t="s">
        <v>51</v>
      </c>
    </row>
    <row r="227" spans="1:18" x14ac:dyDescent="0.35">
      <c r="A227" s="54">
        <v>1190003</v>
      </c>
      <c r="B227" s="54">
        <v>100245</v>
      </c>
      <c r="C227" s="54" t="s">
        <v>648</v>
      </c>
      <c r="D227" s="51">
        <v>113058.40000000369</v>
      </c>
      <c r="E227" s="52">
        <v>0.10140577839981139</v>
      </c>
      <c r="F227" s="51">
        <v>113058.40000000369</v>
      </c>
      <c r="G227" s="52">
        <v>0.10140577839981139</v>
      </c>
      <c r="H227" s="53">
        <v>7084</v>
      </c>
      <c r="I227" s="52">
        <v>2.6815480504420931E-2</v>
      </c>
      <c r="J227" s="53">
        <v>7084</v>
      </c>
      <c r="K227" s="52">
        <v>2.6815480504420931E-2</v>
      </c>
      <c r="L227" s="53">
        <v>4455</v>
      </c>
      <c r="M227" s="52">
        <v>-1.5034269290294052E-2</v>
      </c>
      <c r="N227" s="53">
        <v>4455</v>
      </c>
      <c r="O227" s="52">
        <v>-1.5034269290294052E-2</v>
      </c>
      <c r="P227" s="51">
        <f t="shared" si="6"/>
        <v>1.5901234567901235</v>
      </c>
      <c r="Q227" s="50">
        <f t="shared" si="7"/>
        <v>25.377867564535059</v>
      </c>
      <c r="R227" s="39" t="s">
        <v>54</v>
      </c>
    </row>
    <row r="228" spans="1:18" x14ac:dyDescent="0.35">
      <c r="A228" s="54">
        <v>1240124</v>
      </c>
      <c r="B228" s="54">
        <v>103475</v>
      </c>
      <c r="C228" s="54" t="s">
        <v>647</v>
      </c>
      <c r="D228" s="51">
        <v>112700.72000000319</v>
      </c>
      <c r="E228" s="52">
        <v>-4.1619050976616206E-3</v>
      </c>
      <c r="F228" s="51">
        <v>112700.72000000319</v>
      </c>
      <c r="G228" s="52">
        <v>-4.1619050976616206E-3</v>
      </c>
      <c r="H228" s="53">
        <v>7959</v>
      </c>
      <c r="I228" s="52">
        <v>-8.3908839779005526E-2</v>
      </c>
      <c r="J228" s="53">
        <v>7959</v>
      </c>
      <c r="K228" s="52">
        <v>-8.3908839779005526E-2</v>
      </c>
      <c r="L228" s="53">
        <v>5942</v>
      </c>
      <c r="M228" s="52">
        <v>-7.675574891236793E-2</v>
      </c>
      <c r="N228" s="53">
        <v>5942</v>
      </c>
      <c r="O228" s="52">
        <v>-7.675574891236793E-2</v>
      </c>
      <c r="P228" s="51">
        <f t="shared" si="6"/>
        <v>1.3394479973073039</v>
      </c>
      <c r="Q228" s="50">
        <f t="shared" si="7"/>
        <v>18.966799057556916</v>
      </c>
      <c r="R228" s="39" t="s">
        <v>51</v>
      </c>
    </row>
    <row r="229" spans="1:18" x14ac:dyDescent="0.35">
      <c r="A229" s="54">
        <v>1270001</v>
      </c>
      <c r="B229" s="54">
        <v>100543</v>
      </c>
      <c r="C229" s="54" t="s">
        <v>646</v>
      </c>
      <c r="D229" s="51">
        <v>112427.95000000004</v>
      </c>
      <c r="E229" s="52">
        <v>3.1731246866689856E-2</v>
      </c>
      <c r="F229" s="51">
        <v>112427.95000000004</v>
      </c>
      <c r="G229" s="52">
        <v>3.1731246866689856E-2</v>
      </c>
      <c r="H229" s="53">
        <v>6441</v>
      </c>
      <c r="I229" s="52">
        <v>-5.7230679156908666E-2</v>
      </c>
      <c r="J229" s="53">
        <v>6441</v>
      </c>
      <c r="K229" s="52">
        <v>-5.7230679156908666E-2</v>
      </c>
      <c r="L229" s="53">
        <v>4020</v>
      </c>
      <c r="M229" s="52">
        <v>-2.8516191396810053E-2</v>
      </c>
      <c r="N229" s="53">
        <v>4020</v>
      </c>
      <c r="O229" s="52">
        <v>-2.8516191396810053E-2</v>
      </c>
      <c r="P229" s="51">
        <f t="shared" si="6"/>
        <v>1.6022388059701493</v>
      </c>
      <c r="Q229" s="50">
        <f t="shared" si="7"/>
        <v>27.967151741293542</v>
      </c>
      <c r="R229" s="39" t="s">
        <v>54</v>
      </c>
    </row>
    <row r="230" spans="1:18" x14ac:dyDescent="0.35">
      <c r="A230" s="54">
        <v>1260027</v>
      </c>
      <c r="B230" s="54">
        <v>106182</v>
      </c>
      <c r="C230" s="54" t="s">
        <v>645</v>
      </c>
      <c r="D230" s="51">
        <v>112206.68000000318</v>
      </c>
      <c r="E230" s="52"/>
      <c r="F230" s="51">
        <v>112206.68000000318</v>
      </c>
      <c r="G230" s="52"/>
      <c r="H230" s="53">
        <v>6606</v>
      </c>
      <c r="I230" s="52" t="s">
        <v>52</v>
      </c>
      <c r="J230" s="53">
        <v>6606</v>
      </c>
      <c r="K230" s="52"/>
      <c r="L230" s="53">
        <v>4514</v>
      </c>
      <c r="M230" s="52" t="s">
        <v>52</v>
      </c>
      <c r="N230" s="53">
        <v>4514</v>
      </c>
      <c r="O230" s="52"/>
      <c r="P230" s="51">
        <f t="shared" si="6"/>
        <v>1.463447053610988</v>
      </c>
      <c r="Q230" s="50">
        <f t="shared" si="7"/>
        <v>24.857483385025073</v>
      </c>
      <c r="R230" s="39" t="s">
        <v>51</v>
      </c>
    </row>
    <row r="231" spans="1:18" x14ac:dyDescent="0.35">
      <c r="A231" s="54">
        <v>1240270</v>
      </c>
      <c r="B231" s="54">
        <v>104838</v>
      </c>
      <c r="C231" s="54" t="s">
        <v>644</v>
      </c>
      <c r="D231" s="51">
        <v>112041.5600000034</v>
      </c>
      <c r="E231" s="52">
        <v>0.18850139846396621</v>
      </c>
      <c r="F231" s="51">
        <v>112041.5600000034</v>
      </c>
      <c r="G231" s="52">
        <v>0.18850139846396621</v>
      </c>
      <c r="H231" s="53">
        <v>5955</v>
      </c>
      <c r="I231" s="52">
        <v>4.9524145223827989E-2</v>
      </c>
      <c r="J231" s="53">
        <v>5955</v>
      </c>
      <c r="K231" s="52">
        <v>4.9524145223827989E-2</v>
      </c>
      <c r="L231" s="53">
        <v>4365</v>
      </c>
      <c r="M231" s="52">
        <v>5.8951965065502182E-2</v>
      </c>
      <c r="N231" s="53">
        <v>4365</v>
      </c>
      <c r="O231" s="52">
        <v>5.8951965065502182E-2</v>
      </c>
      <c r="P231" s="51">
        <f t="shared" si="6"/>
        <v>1.3642611683848798</v>
      </c>
      <c r="Q231" s="50">
        <f t="shared" si="7"/>
        <v>25.668169530355875</v>
      </c>
      <c r="R231" s="39" t="s">
        <v>51</v>
      </c>
    </row>
    <row r="232" spans="1:18" x14ac:dyDescent="0.35">
      <c r="A232" s="54">
        <v>1240044</v>
      </c>
      <c r="B232" s="54">
        <v>103465</v>
      </c>
      <c r="C232" s="54" t="s">
        <v>643</v>
      </c>
      <c r="D232" s="51">
        <v>111705.88000000344</v>
      </c>
      <c r="E232" s="52">
        <v>-8.8083637618310822E-3</v>
      </c>
      <c r="F232" s="51">
        <v>111705.88000000344</v>
      </c>
      <c r="G232" s="52">
        <v>-8.8083637618310822E-3</v>
      </c>
      <c r="H232" s="53">
        <v>7054.9999000000007</v>
      </c>
      <c r="I232" s="52">
        <v>-0.10639646611779599</v>
      </c>
      <c r="J232" s="53">
        <v>7054.9999000000007</v>
      </c>
      <c r="K232" s="52">
        <v>-0.10639646611779599</v>
      </c>
      <c r="L232" s="53">
        <v>4616</v>
      </c>
      <c r="M232" s="52">
        <v>-9.5788442703232127E-2</v>
      </c>
      <c r="N232" s="53">
        <v>4616</v>
      </c>
      <c r="O232" s="52">
        <v>-9.5788442703232127E-2</v>
      </c>
      <c r="P232" s="51">
        <f t="shared" si="6"/>
        <v>1.5283795277296361</v>
      </c>
      <c r="Q232" s="50">
        <f t="shared" si="7"/>
        <v>24.199714038128995</v>
      </c>
      <c r="R232" s="39" t="s">
        <v>54</v>
      </c>
    </row>
    <row r="233" spans="1:18" x14ac:dyDescent="0.35">
      <c r="A233" s="54">
        <v>1240143</v>
      </c>
      <c r="B233" s="54">
        <v>100975</v>
      </c>
      <c r="C233" s="54" t="s">
        <v>642</v>
      </c>
      <c r="D233" s="51">
        <v>111363.19000000303</v>
      </c>
      <c r="E233" s="52">
        <v>6.899443392003235E-2</v>
      </c>
      <c r="F233" s="51">
        <v>111363.19000000303</v>
      </c>
      <c r="G233" s="52">
        <v>6.899443392003235E-2</v>
      </c>
      <c r="H233" s="53">
        <v>6964</v>
      </c>
      <c r="I233" s="52">
        <v>-8.1145269824515101E-2</v>
      </c>
      <c r="J233" s="53">
        <v>6964</v>
      </c>
      <c r="K233" s="52">
        <v>-8.1145269824515101E-2</v>
      </c>
      <c r="L233" s="53">
        <v>4248</v>
      </c>
      <c r="M233" s="52">
        <v>5.681818181818182E-3</v>
      </c>
      <c r="N233" s="53">
        <v>4248</v>
      </c>
      <c r="O233" s="52">
        <v>5.681818181818182E-3</v>
      </c>
      <c r="P233" s="51">
        <f t="shared" si="6"/>
        <v>1.6393596986817325</v>
      </c>
      <c r="Q233" s="50">
        <f t="shared" si="7"/>
        <v>26.215440207157023</v>
      </c>
      <c r="R233" s="39" t="s">
        <v>54</v>
      </c>
    </row>
    <row r="234" spans="1:18" x14ac:dyDescent="0.35">
      <c r="A234" s="54">
        <v>1240241</v>
      </c>
      <c r="B234" s="54">
        <v>104357</v>
      </c>
      <c r="C234" s="54" t="s">
        <v>641</v>
      </c>
      <c r="D234" s="51">
        <v>111257.780000003</v>
      </c>
      <c r="E234" s="52">
        <v>-6.0150422961096229E-3</v>
      </c>
      <c r="F234" s="51">
        <v>111257.780000003</v>
      </c>
      <c r="G234" s="52">
        <v>-6.0150422961096229E-3</v>
      </c>
      <c r="H234" s="53">
        <v>7910</v>
      </c>
      <c r="I234" s="52">
        <v>-0.10489985289125268</v>
      </c>
      <c r="J234" s="53">
        <v>7910</v>
      </c>
      <c r="K234" s="52">
        <v>-0.10489985289125268</v>
      </c>
      <c r="L234" s="53">
        <v>5029</v>
      </c>
      <c r="M234" s="52">
        <v>-9.9391117478510024E-2</v>
      </c>
      <c r="N234" s="53">
        <v>5029</v>
      </c>
      <c r="O234" s="52">
        <v>-9.9391117478510024E-2</v>
      </c>
      <c r="P234" s="51">
        <f t="shared" si="6"/>
        <v>1.5728773115927619</v>
      </c>
      <c r="Q234" s="50">
        <f t="shared" si="7"/>
        <v>22.123241201034599</v>
      </c>
      <c r="R234" s="39" t="s">
        <v>54</v>
      </c>
    </row>
    <row r="235" spans="1:18" x14ac:dyDescent="0.35">
      <c r="A235" s="54">
        <v>1230103</v>
      </c>
      <c r="B235" s="54">
        <v>105747</v>
      </c>
      <c r="C235" s="54" t="s">
        <v>640</v>
      </c>
      <c r="D235" s="51">
        <v>111209.91000000485</v>
      </c>
      <c r="E235" s="52">
        <v>2.2368476937293453E-2</v>
      </c>
      <c r="F235" s="51">
        <v>111209.91000000485</v>
      </c>
      <c r="G235" s="52">
        <v>2.2368476937293453E-2</v>
      </c>
      <c r="H235" s="53">
        <v>7516</v>
      </c>
      <c r="I235" s="52">
        <v>-8.3526399219607361E-2</v>
      </c>
      <c r="J235" s="53">
        <v>7516</v>
      </c>
      <c r="K235" s="52">
        <v>-8.3526399219607361E-2</v>
      </c>
      <c r="L235" s="53">
        <v>5643</v>
      </c>
      <c r="M235" s="52">
        <v>-6.9732937685459948E-2</v>
      </c>
      <c r="N235" s="53">
        <v>5643</v>
      </c>
      <c r="O235" s="52">
        <v>-6.9732937685459948E-2</v>
      </c>
      <c r="P235" s="51">
        <f t="shared" si="6"/>
        <v>1.3319156477051215</v>
      </c>
      <c r="Q235" s="50">
        <f t="shared" si="7"/>
        <v>19.707586390218829</v>
      </c>
      <c r="R235" s="39" t="s">
        <v>51</v>
      </c>
    </row>
    <row r="236" spans="1:18" x14ac:dyDescent="0.35">
      <c r="A236" s="54">
        <v>1240018</v>
      </c>
      <c r="B236" s="54">
        <v>100322</v>
      </c>
      <c r="C236" s="54" t="s">
        <v>639</v>
      </c>
      <c r="D236" s="51">
        <v>110929.97000000492</v>
      </c>
      <c r="E236" s="52">
        <v>0.17099930191831919</v>
      </c>
      <c r="F236" s="51">
        <v>110929.97000000492</v>
      </c>
      <c r="G236" s="52">
        <v>0.17099930191831919</v>
      </c>
      <c r="H236" s="53">
        <v>6611</v>
      </c>
      <c r="I236" s="52">
        <v>7.1822308690012965E-2</v>
      </c>
      <c r="J236" s="53">
        <v>6611</v>
      </c>
      <c r="K236" s="52">
        <v>7.1822308690012965E-2</v>
      </c>
      <c r="L236" s="53">
        <v>4837</v>
      </c>
      <c r="M236" s="52">
        <v>5.404227500544781E-2</v>
      </c>
      <c r="N236" s="53">
        <v>4837</v>
      </c>
      <c r="O236" s="52">
        <v>5.404227500544781E-2</v>
      </c>
      <c r="P236" s="51">
        <f t="shared" si="6"/>
        <v>1.3667562538763696</v>
      </c>
      <c r="Q236" s="50">
        <f t="shared" si="7"/>
        <v>22.933630349391134</v>
      </c>
      <c r="R236" s="39" t="s">
        <v>51</v>
      </c>
    </row>
    <row r="237" spans="1:18" x14ac:dyDescent="0.35">
      <c r="A237" s="54">
        <v>1240113</v>
      </c>
      <c r="B237" s="54">
        <v>100669</v>
      </c>
      <c r="C237" s="54" t="s">
        <v>638</v>
      </c>
      <c r="D237" s="51">
        <v>110806.0300000032</v>
      </c>
      <c r="E237" s="52">
        <v>5.2737071942701656E-2</v>
      </c>
      <c r="F237" s="51">
        <v>110806.0300000032</v>
      </c>
      <c r="G237" s="52">
        <v>5.2737071942701656E-2</v>
      </c>
      <c r="H237" s="53">
        <v>7558</v>
      </c>
      <c r="I237" s="52">
        <v>-5.6900424257549286E-2</v>
      </c>
      <c r="J237" s="53">
        <v>7558</v>
      </c>
      <c r="K237" s="52">
        <v>-5.6900424257549286E-2</v>
      </c>
      <c r="L237" s="53">
        <v>4792</v>
      </c>
      <c r="M237" s="52">
        <v>-5.1464766429136978E-2</v>
      </c>
      <c r="N237" s="53">
        <v>4792</v>
      </c>
      <c r="O237" s="52">
        <v>-5.1464766429136978E-2</v>
      </c>
      <c r="P237" s="51">
        <f t="shared" si="6"/>
        <v>1.577212020033389</v>
      </c>
      <c r="Q237" s="50">
        <f t="shared" si="7"/>
        <v>23.123128130217697</v>
      </c>
      <c r="R237" s="39" t="s">
        <v>54</v>
      </c>
    </row>
    <row r="238" spans="1:18" x14ac:dyDescent="0.35">
      <c r="A238" s="54">
        <v>1160009</v>
      </c>
      <c r="B238" s="54">
        <v>104617</v>
      </c>
      <c r="C238" s="54" t="s">
        <v>637</v>
      </c>
      <c r="D238" s="51">
        <v>110449.24000000305</v>
      </c>
      <c r="E238" s="52">
        <v>0.17030955615985546</v>
      </c>
      <c r="F238" s="51">
        <v>110449.24000000305</v>
      </c>
      <c r="G238" s="52">
        <v>0.17030955615985546</v>
      </c>
      <c r="H238" s="53">
        <v>6837.99</v>
      </c>
      <c r="I238" s="52">
        <v>4.909328014728441E-2</v>
      </c>
      <c r="J238" s="53">
        <v>6837.99</v>
      </c>
      <c r="K238" s="52">
        <v>4.909328014728441E-2</v>
      </c>
      <c r="L238" s="53">
        <v>4377</v>
      </c>
      <c r="M238" s="52">
        <v>5.3176130895091434E-2</v>
      </c>
      <c r="N238" s="53">
        <v>4377</v>
      </c>
      <c r="O238" s="52">
        <v>5.3176130895091434E-2</v>
      </c>
      <c r="P238" s="51">
        <f t="shared" si="6"/>
        <v>1.5622549691569567</v>
      </c>
      <c r="Q238" s="50">
        <f t="shared" si="7"/>
        <v>25.234005026274399</v>
      </c>
      <c r="R238" s="39" t="s">
        <v>54</v>
      </c>
    </row>
    <row r="239" spans="1:18" x14ac:dyDescent="0.35">
      <c r="A239" s="54">
        <v>1230041</v>
      </c>
      <c r="B239" s="54">
        <v>100299</v>
      </c>
      <c r="C239" s="54" t="s">
        <v>636</v>
      </c>
      <c r="D239" s="51">
        <v>109805.82000000501</v>
      </c>
      <c r="E239" s="52">
        <v>0.37300816521444724</v>
      </c>
      <c r="F239" s="51">
        <v>109805.82000000501</v>
      </c>
      <c r="G239" s="52">
        <v>0.37300816521444724</v>
      </c>
      <c r="H239" s="53">
        <v>7536</v>
      </c>
      <c r="I239" s="52">
        <v>0.26421741318570707</v>
      </c>
      <c r="J239" s="53">
        <v>7536</v>
      </c>
      <c r="K239" s="52">
        <v>0.26421741318570707</v>
      </c>
      <c r="L239" s="53">
        <v>6034</v>
      </c>
      <c r="M239" s="52">
        <v>0.28382978723404256</v>
      </c>
      <c r="N239" s="53">
        <v>6034</v>
      </c>
      <c r="O239" s="52">
        <v>0.28382978723404256</v>
      </c>
      <c r="P239" s="51">
        <f t="shared" si="6"/>
        <v>1.2489227709645343</v>
      </c>
      <c r="Q239" s="50">
        <f t="shared" si="7"/>
        <v>18.197848856480778</v>
      </c>
      <c r="R239" s="39" t="s">
        <v>51</v>
      </c>
    </row>
    <row r="240" spans="1:18" x14ac:dyDescent="0.35">
      <c r="A240" s="54">
        <v>1240183</v>
      </c>
      <c r="B240" s="54">
        <v>101054</v>
      </c>
      <c r="C240" s="54" t="s">
        <v>635</v>
      </c>
      <c r="D240" s="51">
        <v>108314.6000000028</v>
      </c>
      <c r="E240" s="52">
        <v>0.14970641326577969</v>
      </c>
      <c r="F240" s="51">
        <v>108314.6000000028</v>
      </c>
      <c r="G240" s="52">
        <v>0.14970641326577969</v>
      </c>
      <c r="H240" s="53">
        <v>7253</v>
      </c>
      <c r="I240" s="52">
        <v>5.7596967045785943E-2</v>
      </c>
      <c r="J240" s="53">
        <v>7253</v>
      </c>
      <c r="K240" s="52">
        <v>5.7596967045785943E-2</v>
      </c>
      <c r="L240" s="53">
        <v>4425</v>
      </c>
      <c r="M240" s="52">
        <v>3.4845650140318055E-2</v>
      </c>
      <c r="N240" s="53">
        <v>4425</v>
      </c>
      <c r="O240" s="52">
        <v>3.4845650140318055E-2</v>
      </c>
      <c r="P240" s="51">
        <f t="shared" si="6"/>
        <v>1.6390960451977401</v>
      </c>
      <c r="Q240" s="50">
        <f t="shared" si="7"/>
        <v>24.477875706215322</v>
      </c>
      <c r="R240" s="39" t="s">
        <v>54</v>
      </c>
    </row>
    <row r="241" spans="1:18" x14ac:dyDescent="0.35">
      <c r="A241" s="54">
        <v>1240357</v>
      </c>
      <c r="B241" s="54">
        <v>106670</v>
      </c>
      <c r="C241" s="54" t="s">
        <v>634</v>
      </c>
      <c r="D241" s="51">
        <v>107273.26000000365</v>
      </c>
      <c r="E241" s="52">
        <v>0.13523801017357578</v>
      </c>
      <c r="F241" s="51">
        <v>107273.26000000365</v>
      </c>
      <c r="G241" s="52">
        <v>0.13523801017357578</v>
      </c>
      <c r="H241" s="53">
        <v>6977</v>
      </c>
      <c r="I241" s="52">
        <v>6.3464589643732871E-3</v>
      </c>
      <c r="J241" s="53">
        <v>6977</v>
      </c>
      <c r="K241" s="52">
        <v>6.3464589643732871E-3</v>
      </c>
      <c r="L241" s="53">
        <v>5128</v>
      </c>
      <c r="M241" s="52">
        <v>2.7243589743589744E-2</v>
      </c>
      <c r="N241" s="53">
        <v>5128</v>
      </c>
      <c r="O241" s="52">
        <v>2.7243589743589744E-2</v>
      </c>
      <c r="P241" s="51">
        <f t="shared" si="6"/>
        <v>1.3605694227769112</v>
      </c>
      <c r="Q241" s="50">
        <f t="shared" si="7"/>
        <v>20.919122464899306</v>
      </c>
      <c r="R241" s="39" t="s">
        <v>51</v>
      </c>
    </row>
    <row r="242" spans="1:18" x14ac:dyDescent="0.35">
      <c r="A242" s="54">
        <v>1240187</v>
      </c>
      <c r="B242" s="54">
        <v>101548</v>
      </c>
      <c r="C242" s="54" t="s">
        <v>633</v>
      </c>
      <c r="D242" s="51">
        <v>106130.01000000312</v>
      </c>
      <c r="E242" s="52">
        <v>7.0186500626619325E-2</v>
      </c>
      <c r="F242" s="51">
        <v>106130.01000000312</v>
      </c>
      <c r="G242" s="52">
        <v>7.0186500626619325E-2</v>
      </c>
      <c r="H242" s="53">
        <v>7045</v>
      </c>
      <c r="I242" s="52">
        <v>-2.1935304734138555E-2</v>
      </c>
      <c r="J242" s="53">
        <v>7045</v>
      </c>
      <c r="K242" s="52">
        <v>-2.1935304734138555E-2</v>
      </c>
      <c r="L242" s="53">
        <v>4536</v>
      </c>
      <c r="M242" s="52">
        <v>-6.5703022339027592E-3</v>
      </c>
      <c r="N242" s="53">
        <v>4536</v>
      </c>
      <c r="O242" s="52">
        <v>-6.5703022339027592E-3</v>
      </c>
      <c r="P242" s="51">
        <f t="shared" si="6"/>
        <v>1.5531305114638447</v>
      </c>
      <c r="Q242" s="50">
        <f t="shared" si="7"/>
        <v>23.397268518519208</v>
      </c>
      <c r="R242" s="39" t="s">
        <v>54</v>
      </c>
    </row>
    <row r="243" spans="1:18" x14ac:dyDescent="0.35">
      <c r="A243" s="54">
        <v>1240349</v>
      </c>
      <c r="B243" s="54">
        <v>106470</v>
      </c>
      <c r="C243" s="54" t="s">
        <v>632</v>
      </c>
      <c r="D243" s="51">
        <v>106063.82000000223</v>
      </c>
      <c r="E243" s="52">
        <v>0.13145108442470826</v>
      </c>
      <c r="F243" s="51">
        <v>106063.82000000223</v>
      </c>
      <c r="G243" s="52">
        <v>0.13145108442470826</v>
      </c>
      <c r="H243" s="53">
        <v>6463</v>
      </c>
      <c r="I243" s="52">
        <v>-1.547029702970297E-4</v>
      </c>
      <c r="J243" s="53">
        <v>6463</v>
      </c>
      <c r="K243" s="52">
        <v>-1.547029702970297E-4</v>
      </c>
      <c r="L243" s="53">
        <v>4154</v>
      </c>
      <c r="M243" s="52">
        <v>-4.4178554993097099E-2</v>
      </c>
      <c r="N243" s="53">
        <v>4154</v>
      </c>
      <c r="O243" s="52">
        <v>-4.4178554993097099E-2</v>
      </c>
      <c r="P243" s="51">
        <f t="shared" si="6"/>
        <v>1.5558497833413578</v>
      </c>
      <c r="Q243" s="50">
        <f t="shared" si="7"/>
        <v>25.532936928262455</v>
      </c>
      <c r="R243" s="39" t="s">
        <v>54</v>
      </c>
    </row>
    <row r="244" spans="1:18" x14ac:dyDescent="0.35">
      <c r="A244" s="54">
        <v>1230069</v>
      </c>
      <c r="B244" s="54">
        <v>103137</v>
      </c>
      <c r="C244" s="54" t="s">
        <v>631</v>
      </c>
      <c r="D244" s="51">
        <v>105768.0700000014</v>
      </c>
      <c r="E244" s="52">
        <v>9.8873740355218162E-2</v>
      </c>
      <c r="F244" s="51">
        <v>105768.0700000014</v>
      </c>
      <c r="G244" s="52">
        <v>9.8873740355218162E-2</v>
      </c>
      <c r="H244" s="53">
        <v>7466</v>
      </c>
      <c r="I244" s="52">
        <v>1.6098738932116983E-3</v>
      </c>
      <c r="J244" s="53">
        <v>7466</v>
      </c>
      <c r="K244" s="52">
        <v>1.6098738932116983E-3</v>
      </c>
      <c r="L244" s="53">
        <v>5973</v>
      </c>
      <c r="M244" s="52">
        <v>2.2423827456350565E-2</v>
      </c>
      <c r="N244" s="53">
        <v>5973</v>
      </c>
      <c r="O244" s="52">
        <v>2.2423827456350565E-2</v>
      </c>
      <c r="P244" s="51">
        <f t="shared" si="6"/>
        <v>1.2499581449857693</v>
      </c>
      <c r="Q244" s="50">
        <f t="shared" si="7"/>
        <v>17.707696300016977</v>
      </c>
      <c r="R244" s="39" t="s">
        <v>51</v>
      </c>
    </row>
    <row r="245" spans="1:18" x14ac:dyDescent="0.35">
      <c r="A245" s="54">
        <v>1230083</v>
      </c>
      <c r="B245" s="54">
        <v>104611</v>
      </c>
      <c r="C245" s="54" t="s">
        <v>630</v>
      </c>
      <c r="D245" s="51">
        <v>105685.34000000099</v>
      </c>
      <c r="E245" s="52">
        <v>0.23551043245124464</v>
      </c>
      <c r="F245" s="51">
        <v>105685.34000000099</v>
      </c>
      <c r="G245" s="52">
        <v>0.23551043245124464</v>
      </c>
      <c r="H245" s="53">
        <v>6555</v>
      </c>
      <c r="I245" s="52">
        <v>7.9901153212520587E-2</v>
      </c>
      <c r="J245" s="53">
        <v>6555</v>
      </c>
      <c r="K245" s="52">
        <v>7.9901153212520587E-2</v>
      </c>
      <c r="L245" s="53">
        <v>4113</v>
      </c>
      <c r="M245" s="52">
        <v>9.9438652766639934E-2</v>
      </c>
      <c r="N245" s="53">
        <v>4113</v>
      </c>
      <c r="O245" s="52">
        <v>9.9438652766639934E-2</v>
      </c>
      <c r="P245" s="51">
        <f t="shared" si="6"/>
        <v>1.5937272064186725</v>
      </c>
      <c r="Q245" s="50">
        <f t="shared" si="7"/>
        <v>25.6954388524194</v>
      </c>
      <c r="R245" s="39" t="s">
        <v>54</v>
      </c>
    </row>
    <row r="246" spans="1:18" x14ac:dyDescent="0.35">
      <c r="A246" s="54">
        <v>1090002</v>
      </c>
      <c r="B246" s="54">
        <v>104876</v>
      </c>
      <c r="C246" s="54" t="s">
        <v>629</v>
      </c>
      <c r="D246" s="51">
        <v>105613.06000000266</v>
      </c>
      <c r="E246" s="52">
        <v>7.3817010452371531E-2</v>
      </c>
      <c r="F246" s="51">
        <v>105613.06000000266</v>
      </c>
      <c r="G246" s="52">
        <v>7.3817010452371531E-2</v>
      </c>
      <c r="H246" s="53">
        <v>6014</v>
      </c>
      <c r="I246" s="52">
        <v>-2.796185550347503E-2</v>
      </c>
      <c r="J246" s="53">
        <v>6014</v>
      </c>
      <c r="K246" s="52">
        <v>-2.796185550347503E-2</v>
      </c>
      <c r="L246" s="53">
        <v>4161</v>
      </c>
      <c r="M246" s="52">
        <v>1.8355359765051395E-2</v>
      </c>
      <c r="N246" s="53">
        <v>4161</v>
      </c>
      <c r="O246" s="52">
        <v>1.8355359765051395E-2</v>
      </c>
      <c r="P246" s="51">
        <f t="shared" si="6"/>
        <v>1.4453256428743091</v>
      </c>
      <c r="Q246" s="50">
        <f t="shared" si="7"/>
        <v>25.381653448690859</v>
      </c>
      <c r="R246" s="39" t="s">
        <v>51</v>
      </c>
    </row>
    <row r="247" spans="1:18" x14ac:dyDescent="0.35">
      <c r="A247" s="54">
        <v>1230074</v>
      </c>
      <c r="B247" s="54">
        <v>105523</v>
      </c>
      <c r="C247" s="54" t="s">
        <v>628</v>
      </c>
      <c r="D247" s="51">
        <v>105377.80000000258</v>
      </c>
      <c r="E247" s="52">
        <v>0.14073472514248542</v>
      </c>
      <c r="F247" s="51">
        <v>105377.80000000258</v>
      </c>
      <c r="G247" s="52">
        <v>0.14073472514248542</v>
      </c>
      <c r="H247" s="53">
        <v>7147</v>
      </c>
      <c r="I247" s="52">
        <v>4.9640182111910708E-2</v>
      </c>
      <c r="J247" s="53">
        <v>7147</v>
      </c>
      <c r="K247" s="52">
        <v>4.9640182111910708E-2</v>
      </c>
      <c r="L247" s="53">
        <v>4871</v>
      </c>
      <c r="M247" s="52">
        <v>1.9250889307386481E-2</v>
      </c>
      <c r="N247" s="53">
        <v>4871</v>
      </c>
      <c r="O247" s="52">
        <v>1.9250889307386481E-2</v>
      </c>
      <c r="P247" s="51">
        <f t="shared" si="6"/>
        <v>1.467255183740505</v>
      </c>
      <c r="Q247" s="50">
        <f t="shared" si="7"/>
        <v>21.633709710532248</v>
      </c>
      <c r="R247" s="39" t="s">
        <v>51</v>
      </c>
    </row>
    <row r="248" spans="1:18" x14ac:dyDescent="0.35">
      <c r="A248" s="54">
        <v>1230009</v>
      </c>
      <c r="B248" s="54">
        <v>104608</v>
      </c>
      <c r="C248" s="54" t="s">
        <v>627</v>
      </c>
      <c r="D248" s="51">
        <v>105150.79000000382</v>
      </c>
      <c r="E248" s="52">
        <v>7.0863326277158523E-2</v>
      </c>
      <c r="F248" s="51">
        <v>105150.79000000382</v>
      </c>
      <c r="G248" s="52">
        <v>7.0863326277158523E-2</v>
      </c>
      <c r="H248" s="53">
        <v>7308</v>
      </c>
      <c r="I248" s="52">
        <v>-6.391699756628666E-2</v>
      </c>
      <c r="J248" s="53">
        <v>7308</v>
      </c>
      <c r="K248" s="52">
        <v>-6.391699756628666E-2</v>
      </c>
      <c r="L248" s="53">
        <v>5389</v>
      </c>
      <c r="M248" s="52">
        <v>-7.7226027397260269E-2</v>
      </c>
      <c r="N248" s="53">
        <v>5389</v>
      </c>
      <c r="O248" s="52">
        <v>-7.7226027397260269E-2</v>
      </c>
      <c r="P248" s="51">
        <f t="shared" si="6"/>
        <v>1.3560957506030804</v>
      </c>
      <c r="Q248" s="50">
        <f t="shared" si="7"/>
        <v>19.512115420301321</v>
      </c>
      <c r="R248" s="39" t="s">
        <v>51</v>
      </c>
    </row>
    <row r="249" spans="1:18" x14ac:dyDescent="0.35">
      <c r="A249" s="54">
        <v>1230081</v>
      </c>
      <c r="B249" s="54">
        <v>104609</v>
      </c>
      <c r="C249" s="54" t="s">
        <v>626</v>
      </c>
      <c r="D249" s="51">
        <v>104976.3700000034</v>
      </c>
      <c r="E249" s="52">
        <v>0.89049839532600217</v>
      </c>
      <c r="F249" s="51">
        <v>104976.3700000034</v>
      </c>
      <c r="G249" s="52">
        <v>0.89049839532600217</v>
      </c>
      <c r="H249" s="53">
        <v>6889</v>
      </c>
      <c r="I249" s="52">
        <v>0.67249332362223846</v>
      </c>
      <c r="J249" s="53">
        <v>6889</v>
      </c>
      <c r="K249" s="52">
        <v>0.67249332362223846</v>
      </c>
      <c r="L249" s="53">
        <v>5330</v>
      </c>
      <c r="M249" s="52">
        <v>0.65579372475924202</v>
      </c>
      <c r="N249" s="53">
        <v>5330</v>
      </c>
      <c r="O249" s="52">
        <v>0.65579372475924202</v>
      </c>
      <c r="P249" s="51">
        <f t="shared" si="6"/>
        <v>1.2924953095684804</v>
      </c>
      <c r="Q249" s="50">
        <f t="shared" si="7"/>
        <v>19.695378986867428</v>
      </c>
      <c r="R249" s="39" t="s">
        <v>51</v>
      </c>
    </row>
    <row r="250" spans="1:18" x14ac:dyDescent="0.35">
      <c r="A250" s="54">
        <v>1220002</v>
      </c>
      <c r="B250" s="54">
        <v>105943</v>
      </c>
      <c r="C250" s="54" t="s">
        <v>625</v>
      </c>
      <c r="D250" s="51">
        <v>104633.05000000304</v>
      </c>
      <c r="E250" s="52">
        <v>0.21971848323809942</v>
      </c>
      <c r="F250" s="51">
        <v>104633.05000000304</v>
      </c>
      <c r="G250" s="52">
        <v>0.21971848323809942</v>
      </c>
      <c r="H250" s="53">
        <v>6357</v>
      </c>
      <c r="I250" s="52">
        <v>0.11272536320672151</v>
      </c>
      <c r="J250" s="53">
        <v>6357</v>
      </c>
      <c r="K250" s="52">
        <v>0.11272536320672151</v>
      </c>
      <c r="L250" s="53">
        <v>4345</v>
      </c>
      <c r="M250" s="52">
        <v>0.10559796437659033</v>
      </c>
      <c r="N250" s="53">
        <v>4345</v>
      </c>
      <c r="O250" s="52">
        <v>0.10559796437659033</v>
      </c>
      <c r="P250" s="51">
        <f t="shared" si="6"/>
        <v>1.463060989643268</v>
      </c>
      <c r="Q250" s="50">
        <f t="shared" si="7"/>
        <v>24.08125431530565</v>
      </c>
      <c r="R250" s="39" t="s">
        <v>51</v>
      </c>
    </row>
    <row r="251" spans="1:18" x14ac:dyDescent="0.35">
      <c r="A251" s="54">
        <v>1240061</v>
      </c>
      <c r="B251" s="54">
        <v>102853</v>
      </c>
      <c r="C251" s="54" t="s">
        <v>624</v>
      </c>
      <c r="D251" s="51">
        <v>104156.76000000456</v>
      </c>
      <c r="E251" s="52">
        <v>-0.10204224498488031</v>
      </c>
      <c r="F251" s="51">
        <v>104156.76000000456</v>
      </c>
      <c r="G251" s="52">
        <v>-0.10204224498488031</v>
      </c>
      <c r="H251" s="53">
        <v>7017</v>
      </c>
      <c r="I251" s="52">
        <v>-0.21033085752869682</v>
      </c>
      <c r="J251" s="53">
        <v>7017</v>
      </c>
      <c r="K251" s="52">
        <v>-0.21033085752869682</v>
      </c>
      <c r="L251" s="53">
        <v>4784</v>
      </c>
      <c r="M251" s="52">
        <v>-0.17857142857142858</v>
      </c>
      <c r="N251" s="53">
        <v>4784</v>
      </c>
      <c r="O251" s="52">
        <v>-0.17857142857142858</v>
      </c>
      <c r="P251" s="51">
        <f t="shared" si="6"/>
        <v>1.4667642140468227</v>
      </c>
      <c r="Q251" s="50">
        <f t="shared" si="7"/>
        <v>21.771897993311992</v>
      </c>
      <c r="R251" s="39" t="s">
        <v>51</v>
      </c>
    </row>
    <row r="252" spans="1:18" x14ac:dyDescent="0.35">
      <c r="A252" s="54">
        <v>1240080</v>
      </c>
      <c r="B252" s="54">
        <v>106725</v>
      </c>
      <c r="C252" s="54" t="s">
        <v>623</v>
      </c>
      <c r="D252" s="51">
        <v>104095.29000000228</v>
      </c>
      <c r="E252" s="52">
        <v>1.7441157523153322E-2</v>
      </c>
      <c r="F252" s="51">
        <v>104095.29000000228</v>
      </c>
      <c r="G252" s="52">
        <v>1.7441157523153322E-2</v>
      </c>
      <c r="H252" s="53">
        <v>6841</v>
      </c>
      <c r="I252" s="52">
        <v>-0.10093310553292154</v>
      </c>
      <c r="J252" s="53">
        <v>6841</v>
      </c>
      <c r="K252" s="52">
        <v>-0.10093310553292154</v>
      </c>
      <c r="L252" s="53">
        <v>3846</v>
      </c>
      <c r="M252" s="52">
        <v>-0.14362057448229792</v>
      </c>
      <c r="N252" s="53">
        <v>3846</v>
      </c>
      <c r="O252" s="52">
        <v>-0.14362057448229792</v>
      </c>
      <c r="P252" s="51">
        <f t="shared" si="6"/>
        <v>1.7787311492459699</v>
      </c>
      <c r="Q252" s="50">
        <f t="shared" si="7"/>
        <v>27.065858034321966</v>
      </c>
      <c r="R252" s="39" t="s">
        <v>54</v>
      </c>
    </row>
    <row r="253" spans="1:18" x14ac:dyDescent="0.35">
      <c r="A253" s="54">
        <v>1240117</v>
      </c>
      <c r="B253" s="54">
        <v>100552</v>
      </c>
      <c r="C253" s="54" t="s">
        <v>622</v>
      </c>
      <c r="D253" s="51">
        <v>103918.39000000407</v>
      </c>
      <c r="E253" s="52">
        <v>0.18687087131403035</v>
      </c>
      <c r="F253" s="51">
        <v>103918.39000000407</v>
      </c>
      <c r="G253" s="52">
        <v>0.18687087131403035</v>
      </c>
      <c r="H253" s="53">
        <v>6592</v>
      </c>
      <c r="I253" s="52">
        <v>0.10068458841208883</v>
      </c>
      <c r="J253" s="53">
        <v>6592</v>
      </c>
      <c r="K253" s="52">
        <v>0.10068458841208883</v>
      </c>
      <c r="L253" s="53">
        <v>4413</v>
      </c>
      <c r="M253" s="52">
        <v>0.11326942482341069</v>
      </c>
      <c r="N253" s="53">
        <v>4413</v>
      </c>
      <c r="O253" s="52">
        <v>0.11326942482341069</v>
      </c>
      <c r="P253" s="51">
        <f t="shared" si="6"/>
        <v>1.4937684115114436</v>
      </c>
      <c r="Q253" s="50">
        <f t="shared" si="7"/>
        <v>23.548241559031062</v>
      </c>
      <c r="R253" s="39" t="s">
        <v>51</v>
      </c>
    </row>
    <row r="254" spans="1:18" x14ac:dyDescent="0.35">
      <c r="A254" s="54">
        <v>1090001</v>
      </c>
      <c r="B254" s="54">
        <v>100130</v>
      </c>
      <c r="C254" s="54" t="s">
        <v>621</v>
      </c>
      <c r="D254" s="51">
        <v>103553.55000000488</v>
      </c>
      <c r="E254" s="52">
        <v>-6.1482183772219721E-2</v>
      </c>
      <c r="F254" s="51">
        <v>103553.55000000488</v>
      </c>
      <c r="G254" s="52">
        <v>-6.1482183772219721E-2</v>
      </c>
      <c r="H254" s="53">
        <v>7011</v>
      </c>
      <c r="I254" s="52">
        <v>-7.762136560978819E-2</v>
      </c>
      <c r="J254" s="53">
        <v>7011</v>
      </c>
      <c r="K254" s="52">
        <v>-7.762136560978819E-2</v>
      </c>
      <c r="L254" s="53">
        <v>5352</v>
      </c>
      <c r="M254" s="52">
        <v>-4.7008547008547008E-2</v>
      </c>
      <c r="N254" s="53">
        <v>5352</v>
      </c>
      <c r="O254" s="52">
        <v>-4.7008547008547008E-2</v>
      </c>
      <c r="P254" s="51">
        <f t="shared" si="6"/>
        <v>1.3099775784753362</v>
      </c>
      <c r="Q254" s="50">
        <f t="shared" si="7"/>
        <v>19.348570627803603</v>
      </c>
      <c r="R254" s="39" t="s">
        <v>51</v>
      </c>
    </row>
    <row r="255" spans="1:18" x14ac:dyDescent="0.35">
      <c r="A255" s="54">
        <v>1160011</v>
      </c>
      <c r="B255" s="54">
        <v>107072</v>
      </c>
      <c r="C255" s="54" t="s">
        <v>620</v>
      </c>
      <c r="D255" s="51">
        <v>102660.20000000273</v>
      </c>
      <c r="E255" s="52">
        <v>-6.2339333674003856E-2</v>
      </c>
      <c r="F255" s="51">
        <v>102660.20000000273</v>
      </c>
      <c r="G255" s="52">
        <v>-6.2339333674003856E-2</v>
      </c>
      <c r="H255" s="53">
        <v>6432</v>
      </c>
      <c r="I255" s="52">
        <v>-0.10079686844680553</v>
      </c>
      <c r="J255" s="53">
        <v>6432</v>
      </c>
      <c r="K255" s="52">
        <v>-0.10079686844680553</v>
      </c>
      <c r="L255" s="53">
        <v>4233</v>
      </c>
      <c r="M255" s="52">
        <v>-8.6928386540120792E-2</v>
      </c>
      <c r="N255" s="53">
        <v>4233</v>
      </c>
      <c r="O255" s="52">
        <v>-8.6928386540120792E-2</v>
      </c>
      <c r="P255" s="51">
        <f t="shared" si="6"/>
        <v>1.5194897236002836</v>
      </c>
      <c r="Q255" s="50">
        <f t="shared" si="7"/>
        <v>24.252350578786377</v>
      </c>
      <c r="R255" s="39" t="s">
        <v>54</v>
      </c>
    </row>
    <row r="256" spans="1:18" x14ac:dyDescent="0.35">
      <c r="A256" s="54">
        <v>1240073</v>
      </c>
      <c r="B256" s="54">
        <v>104154</v>
      </c>
      <c r="C256" s="54" t="s">
        <v>619</v>
      </c>
      <c r="D256" s="51">
        <v>101902.2600000033</v>
      </c>
      <c r="E256" s="52"/>
      <c r="F256" s="51">
        <v>101902.2600000033</v>
      </c>
      <c r="G256" s="52"/>
      <c r="H256" s="53">
        <v>6665</v>
      </c>
      <c r="I256" s="52" t="s">
        <v>52</v>
      </c>
      <c r="J256" s="53">
        <v>6665</v>
      </c>
      <c r="K256" s="52"/>
      <c r="L256" s="53">
        <v>4567</v>
      </c>
      <c r="M256" s="52" t="s">
        <v>52</v>
      </c>
      <c r="N256" s="53">
        <v>4567</v>
      </c>
      <c r="O256" s="52"/>
      <c r="P256" s="51">
        <f t="shared" si="6"/>
        <v>1.4593825268228597</v>
      </c>
      <c r="Q256" s="50">
        <f t="shared" si="7"/>
        <v>22.312734836873943</v>
      </c>
      <c r="R256" s="39" t="s">
        <v>51</v>
      </c>
    </row>
    <row r="257" spans="1:18" x14ac:dyDescent="0.35">
      <c r="A257" s="54">
        <v>1240232</v>
      </c>
      <c r="B257" s="54">
        <v>104050</v>
      </c>
      <c r="C257" s="54" t="s">
        <v>618</v>
      </c>
      <c r="D257" s="51">
        <v>101454.32000000207</v>
      </c>
      <c r="E257" s="52">
        <v>-0.29427573827473946</v>
      </c>
      <c r="F257" s="51">
        <v>101454.32000000207</v>
      </c>
      <c r="G257" s="52">
        <v>-0.29427573827473946</v>
      </c>
      <c r="H257" s="53">
        <v>6199</v>
      </c>
      <c r="I257" s="52">
        <v>-0.37339533003133529</v>
      </c>
      <c r="J257" s="53">
        <v>6199</v>
      </c>
      <c r="K257" s="52">
        <v>-0.37339533003133529</v>
      </c>
      <c r="L257" s="53">
        <v>4268</v>
      </c>
      <c r="M257" s="52">
        <v>-0.38350426115845732</v>
      </c>
      <c r="N257" s="53">
        <v>4268</v>
      </c>
      <c r="O257" s="52">
        <v>-0.38350426115845732</v>
      </c>
      <c r="P257" s="51">
        <f t="shared" si="6"/>
        <v>1.4524367385192127</v>
      </c>
      <c r="Q257" s="50">
        <f t="shared" si="7"/>
        <v>23.770927835052031</v>
      </c>
      <c r="R257" s="39" t="s">
        <v>51</v>
      </c>
    </row>
    <row r="258" spans="1:18" x14ac:dyDescent="0.35">
      <c r="A258" s="54">
        <v>1160008</v>
      </c>
      <c r="B258" s="54">
        <v>106541</v>
      </c>
      <c r="C258" s="54" t="s">
        <v>617</v>
      </c>
      <c r="D258" s="51">
        <v>101442.61000000313</v>
      </c>
      <c r="E258" s="52">
        <v>-0.1235640890661818</v>
      </c>
      <c r="F258" s="51">
        <v>101442.61000000313</v>
      </c>
      <c r="G258" s="52">
        <v>-0.1235640890661818</v>
      </c>
      <c r="H258" s="53">
        <v>6121</v>
      </c>
      <c r="I258" s="52">
        <v>-0.21826309067688379</v>
      </c>
      <c r="J258" s="53">
        <v>6121</v>
      </c>
      <c r="K258" s="52">
        <v>-0.21826309067688379</v>
      </c>
      <c r="L258" s="53">
        <v>4178</v>
      </c>
      <c r="M258" s="52">
        <v>-0.21303446976831794</v>
      </c>
      <c r="N258" s="53">
        <v>4178</v>
      </c>
      <c r="O258" s="52">
        <v>-0.21303446976831794</v>
      </c>
      <c r="P258" s="51">
        <f t="shared" si="6"/>
        <v>1.465055050263284</v>
      </c>
      <c r="Q258" s="50">
        <f t="shared" si="7"/>
        <v>24.280184298708264</v>
      </c>
      <c r="R258" s="39" t="s">
        <v>51</v>
      </c>
    </row>
    <row r="259" spans="1:18" x14ac:dyDescent="0.35">
      <c r="A259" s="54">
        <v>1250006</v>
      </c>
      <c r="B259" s="54">
        <v>101083</v>
      </c>
      <c r="C259" s="54" t="s">
        <v>616</v>
      </c>
      <c r="D259" s="51">
        <v>101082.16000000291</v>
      </c>
      <c r="E259" s="52">
        <v>-3.5622774562219833E-3</v>
      </c>
      <c r="F259" s="51">
        <v>101082.16000000291</v>
      </c>
      <c r="G259" s="52">
        <v>-3.5622774562219833E-3</v>
      </c>
      <c r="H259" s="53">
        <v>5638</v>
      </c>
      <c r="I259" s="52">
        <v>-8.0860776002608409E-2</v>
      </c>
      <c r="J259" s="53">
        <v>5638</v>
      </c>
      <c r="K259" s="52">
        <v>-8.0860776002608409E-2</v>
      </c>
      <c r="L259" s="53">
        <v>3894</v>
      </c>
      <c r="M259" s="52">
        <v>-6.5290446471435434E-2</v>
      </c>
      <c r="N259" s="53">
        <v>3894</v>
      </c>
      <c r="O259" s="52">
        <v>-6.5290446471435434E-2</v>
      </c>
      <c r="P259" s="51">
        <f t="shared" si="6"/>
        <v>1.4478685156651259</v>
      </c>
      <c r="Q259" s="50">
        <f t="shared" si="7"/>
        <v>25.958438623524117</v>
      </c>
      <c r="R259" s="39" t="s">
        <v>51</v>
      </c>
    </row>
    <row r="260" spans="1:18" x14ac:dyDescent="0.35">
      <c r="A260" s="54">
        <v>1240251</v>
      </c>
      <c r="B260" s="54">
        <v>104476</v>
      </c>
      <c r="C260" s="54" t="s">
        <v>615</v>
      </c>
      <c r="D260" s="51">
        <v>100406.19000000146</v>
      </c>
      <c r="E260" s="52">
        <v>0.28770013108338871</v>
      </c>
      <c r="F260" s="51">
        <v>100406.19000000146</v>
      </c>
      <c r="G260" s="52">
        <v>0.28770013108338871</v>
      </c>
      <c r="H260" s="53">
        <v>5596</v>
      </c>
      <c r="I260" s="52">
        <v>5.405914484837069E-2</v>
      </c>
      <c r="J260" s="53">
        <v>5596</v>
      </c>
      <c r="K260" s="52">
        <v>5.405914484837069E-2</v>
      </c>
      <c r="L260" s="53">
        <v>4009</v>
      </c>
      <c r="M260" s="52">
        <v>4.8378661087866107E-2</v>
      </c>
      <c r="N260" s="53">
        <v>4009</v>
      </c>
      <c r="O260" s="52">
        <v>4.8378661087866107E-2</v>
      </c>
      <c r="P260" s="51">
        <f t="shared" si="6"/>
        <v>1.3958593165377899</v>
      </c>
      <c r="Q260" s="50">
        <f t="shared" si="7"/>
        <v>25.045195809429149</v>
      </c>
      <c r="R260" s="39" t="s">
        <v>51</v>
      </c>
    </row>
    <row r="261" spans="1:18" x14ac:dyDescent="0.35">
      <c r="A261" s="54">
        <v>1210036</v>
      </c>
      <c r="B261" s="54">
        <v>104296</v>
      </c>
      <c r="C261" s="54" t="s">
        <v>614</v>
      </c>
      <c r="D261" s="51">
        <v>100393.46000000305</v>
      </c>
      <c r="E261" s="52">
        <v>7.7047376221080668E-2</v>
      </c>
      <c r="F261" s="51">
        <v>100393.46000000305</v>
      </c>
      <c r="G261" s="52">
        <v>7.7047376221080668E-2</v>
      </c>
      <c r="H261" s="53">
        <v>5958</v>
      </c>
      <c r="I261" s="52">
        <v>6.7181726570372856E-4</v>
      </c>
      <c r="J261" s="53">
        <v>5958</v>
      </c>
      <c r="K261" s="52">
        <v>6.7181726570372856E-4</v>
      </c>
      <c r="L261" s="53">
        <v>3991</v>
      </c>
      <c r="M261" s="52">
        <v>-1.0012515644555694E-3</v>
      </c>
      <c r="N261" s="53">
        <v>3991</v>
      </c>
      <c r="O261" s="52">
        <v>-1.0012515644555694E-3</v>
      </c>
      <c r="P261" s="51">
        <f t="shared" ref="P261:P324" si="8">H261/L261</f>
        <v>1.4928589325983463</v>
      </c>
      <c r="Q261" s="50">
        <f t="shared" ref="Q261:Q324" si="9">D261/L261</f>
        <v>25.154963668254336</v>
      </c>
      <c r="R261" s="39" t="s">
        <v>51</v>
      </c>
    </row>
    <row r="262" spans="1:18" x14ac:dyDescent="0.35">
      <c r="A262" s="54">
        <v>1260014</v>
      </c>
      <c r="B262" s="54">
        <v>103477</v>
      </c>
      <c r="C262" s="54" t="s">
        <v>613</v>
      </c>
      <c r="D262" s="51">
        <v>100309.01000000321</v>
      </c>
      <c r="E262" s="52">
        <v>0.11726410051668466</v>
      </c>
      <c r="F262" s="51">
        <v>100309.01000000321</v>
      </c>
      <c r="G262" s="52">
        <v>0.11726410051668466</v>
      </c>
      <c r="H262" s="53">
        <v>5761</v>
      </c>
      <c r="I262" s="52">
        <v>5.5514840600952728E-2</v>
      </c>
      <c r="J262" s="53">
        <v>5761</v>
      </c>
      <c r="K262" s="52">
        <v>5.5514840600952728E-2</v>
      </c>
      <c r="L262" s="53">
        <v>3931</v>
      </c>
      <c r="M262" s="52">
        <v>5.9283212072217734E-2</v>
      </c>
      <c r="N262" s="53">
        <v>3931</v>
      </c>
      <c r="O262" s="52">
        <v>5.9283212072217734E-2</v>
      </c>
      <c r="P262" s="51">
        <f t="shared" si="8"/>
        <v>1.4655303993894684</v>
      </c>
      <c r="Q262" s="50">
        <f t="shared" si="9"/>
        <v>25.517428135335336</v>
      </c>
      <c r="R262" s="39" t="s">
        <v>51</v>
      </c>
    </row>
    <row r="263" spans="1:18" x14ac:dyDescent="0.35">
      <c r="A263" s="54">
        <v>1230042</v>
      </c>
      <c r="B263" s="54">
        <v>100970</v>
      </c>
      <c r="C263" s="54" t="s">
        <v>612</v>
      </c>
      <c r="D263" s="51">
        <v>100170.30000000208</v>
      </c>
      <c r="E263" s="52">
        <v>4.7127495466081797E-2</v>
      </c>
      <c r="F263" s="51">
        <v>100170.30000000208</v>
      </c>
      <c r="G263" s="52">
        <v>4.7127495466081797E-2</v>
      </c>
      <c r="H263" s="53">
        <v>7229</v>
      </c>
      <c r="I263" s="52">
        <v>-3.2003213711837175E-2</v>
      </c>
      <c r="J263" s="53">
        <v>7229</v>
      </c>
      <c r="K263" s="52">
        <v>-3.2003213711837175E-2</v>
      </c>
      <c r="L263" s="53">
        <v>4983</v>
      </c>
      <c r="M263" s="52">
        <v>-5.4100227790432803E-2</v>
      </c>
      <c r="N263" s="53">
        <v>4983</v>
      </c>
      <c r="O263" s="52">
        <v>-5.4100227790432803E-2</v>
      </c>
      <c r="P263" s="51">
        <f t="shared" si="8"/>
        <v>1.4507324904675898</v>
      </c>
      <c r="Q263" s="50">
        <f t="shared" si="9"/>
        <v>20.102408187839071</v>
      </c>
      <c r="R263" s="39" t="s">
        <v>51</v>
      </c>
    </row>
    <row r="264" spans="1:18" x14ac:dyDescent="0.35">
      <c r="A264" s="54">
        <v>1240390</v>
      </c>
      <c r="B264" s="54">
        <v>106949</v>
      </c>
      <c r="C264" s="54" t="s">
        <v>611</v>
      </c>
      <c r="D264" s="51">
        <v>99894.810000003432</v>
      </c>
      <c r="E264" s="52">
        <v>0.31170983103411054</v>
      </c>
      <c r="F264" s="51">
        <v>99894.810000003432</v>
      </c>
      <c r="G264" s="52">
        <v>0.31170983103411054</v>
      </c>
      <c r="H264" s="53">
        <v>6221.9699999999993</v>
      </c>
      <c r="I264" s="52">
        <v>0.2332699054528154</v>
      </c>
      <c r="J264" s="53">
        <v>6221.9699999999993</v>
      </c>
      <c r="K264" s="52">
        <v>0.2332699054528154</v>
      </c>
      <c r="L264" s="53">
        <v>4201</v>
      </c>
      <c r="M264" s="52">
        <v>0.24881093935790724</v>
      </c>
      <c r="N264" s="53">
        <v>4201</v>
      </c>
      <c r="O264" s="52">
        <v>0.24881093935790724</v>
      </c>
      <c r="P264" s="51">
        <f t="shared" si="8"/>
        <v>1.4810687931444892</v>
      </c>
      <c r="Q264" s="50">
        <f t="shared" si="9"/>
        <v>23.778816948346449</v>
      </c>
      <c r="R264" s="39" t="s">
        <v>51</v>
      </c>
    </row>
    <row r="265" spans="1:18" x14ac:dyDescent="0.35">
      <c r="A265" s="54">
        <v>1240240</v>
      </c>
      <c r="B265" s="54">
        <v>104325</v>
      </c>
      <c r="C265" s="54" t="s">
        <v>610</v>
      </c>
      <c r="D265" s="51">
        <v>99330.250000002852</v>
      </c>
      <c r="E265" s="52">
        <v>7.7712733263801348E-2</v>
      </c>
      <c r="F265" s="51">
        <v>99330.250000002852</v>
      </c>
      <c r="G265" s="52">
        <v>7.7712733263801348E-2</v>
      </c>
      <c r="H265" s="53">
        <v>6463</v>
      </c>
      <c r="I265" s="52">
        <v>-1.5236934328813043E-2</v>
      </c>
      <c r="J265" s="53">
        <v>6463</v>
      </c>
      <c r="K265" s="52">
        <v>-1.5236934328813043E-2</v>
      </c>
      <c r="L265" s="53">
        <v>4336</v>
      </c>
      <c r="M265" s="52">
        <v>4.8667439165701043E-3</v>
      </c>
      <c r="N265" s="53">
        <v>4336</v>
      </c>
      <c r="O265" s="52">
        <v>4.8667439165701043E-3</v>
      </c>
      <c r="P265" s="51">
        <f t="shared" si="8"/>
        <v>1.4905442804428044</v>
      </c>
      <c r="Q265" s="50">
        <f t="shared" si="9"/>
        <v>22.908267988930547</v>
      </c>
      <c r="R265" s="39" t="s">
        <v>51</v>
      </c>
    </row>
    <row r="266" spans="1:18" x14ac:dyDescent="0.35">
      <c r="A266" s="54">
        <v>1240115</v>
      </c>
      <c r="B266" s="54">
        <v>106808</v>
      </c>
      <c r="C266" s="54" t="s">
        <v>609</v>
      </c>
      <c r="D266" s="51">
        <v>99267.43000000219</v>
      </c>
      <c r="E266" s="52">
        <v>5.8371211216586082E-2</v>
      </c>
      <c r="F266" s="51">
        <v>99267.43000000219</v>
      </c>
      <c r="G266" s="52">
        <v>5.8371211216586082E-2</v>
      </c>
      <c r="H266" s="53">
        <v>7040</v>
      </c>
      <c r="I266" s="52">
        <v>-4.2176870748299317E-2</v>
      </c>
      <c r="J266" s="53">
        <v>7040</v>
      </c>
      <c r="K266" s="52">
        <v>-4.2176870748299317E-2</v>
      </c>
      <c r="L266" s="53">
        <v>4370</v>
      </c>
      <c r="M266" s="52">
        <v>-4.6059812268063743E-2</v>
      </c>
      <c r="N266" s="53">
        <v>4370</v>
      </c>
      <c r="O266" s="52">
        <v>-4.6059812268063743E-2</v>
      </c>
      <c r="P266" s="51">
        <f t="shared" si="8"/>
        <v>1.6109839816933638</v>
      </c>
      <c r="Q266" s="50">
        <f t="shared" si="9"/>
        <v>22.715659038902103</v>
      </c>
      <c r="R266" s="39" t="s">
        <v>54</v>
      </c>
    </row>
    <row r="267" spans="1:18" x14ac:dyDescent="0.35">
      <c r="A267" s="54">
        <v>1260006</v>
      </c>
      <c r="B267" s="54">
        <v>105671</v>
      </c>
      <c r="C267" s="54" t="s">
        <v>608</v>
      </c>
      <c r="D267" s="51">
        <v>99049.520000002958</v>
      </c>
      <c r="E267" s="52">
        <v>7.2008008983069763E-2</v>
      </c>
      <c r="F267" s="51">
        <v>99049.520000002958</v>
      </c>
      <c r="G267" s="52">
        <v>7.2008008983069763E-2</v>
      </c>
      <c r="H267" s="53">
        <v>6176</v>
      </c>
      <c r="I267" s="52">
        <v>-3.0911658559548093E-2</v>
      </c>
      <c r="J267" s="53">
        <v>6176</v>
      </c>
      <c r="K267" s="52">
        <v>-3.0911658559548093E-2</v>
      </c>
      <c r="L267" s="53">
        <v>4246</v>
      </c>
      <c r="M267" s="52">
        <v>-3.1478102189781025E-2</v>
      </c>
      <c r="N267" s="53">
        <v>4246</v>
      </c>
      <c r="O267" s="52">
        <v>-3.1478102189781025E-2</v>
      </c>
      <c r="P267" s="51">
        <f t="shared" si="8"/>
        <v>1.4545454545454546</v>
      </c>
      <c r="Q267" s="50">
        <f t="shared" si="9"/>
        <v>23.327724917570173</v>
      </c>
      <c r="R267" s="39" t="s">
        <v>51</v>
      </c>
    </row>
    <row r="268" spans="1:18" x14ac:dyDescent="0.35">
      <c r="A268" s="54">
        <v>1240239</v>
      </c>
      <c r="B268" s="54">
        <v>106805</v>
      </c>
      <c r="C268" s="54" t="s">
        <v>607</v>
      </c>
      <c r="D268" s="51">
        <v>98793.640000000101</v>
      </c>
      <c r="E268" s="52">
        <v>-1.8852941415979797E-2</v>
      </c>
      <c r="F268" s="51">
        <v>98793.640000000101</v>
      </c>
      <c r="G268" s="52">
        <v>-1.8852941415979797E-2</v>
      </c>
      <c r="H268" s="53">
        <v>7272</v>
      </c>
      <c r="I268" s="52">
        <v>-0.11726147123088128</v>
      </c>
      <c r="J268" s="53">
        <v>7272</v>
      </c>
      <c r="K268" s="52">
        <v>-0.11726147123088128</v>
      </c>
      <c r="L268" s="53">
        <v>3991</v>
      </c>
      <c r="M268" s="52">
        <v>-0.10675917636526409</v>
      </c>
      <c r="N268" s="53">
        <v>3991</v>
      </c>
      <c r="O268" s="52">
        <v>-0.10675917636526409</v>
      </c>
      <c r="P268" s="51">
        <f t="shared" si="8"/>
        <v>1.8220997243798547</v>
      </c>
      <c r="Q268" s="50">
        <f t="shared" si="9"/>
        <v>24.754106740165398</v>
      </c>
      <c r="R268" s="39" t="s">
        <v>54</v>
      </c>
    </row>
    <row r="269" spans="1:18" x14ac:dyDescent="0.35">
      <c r="A269" s="54">
        <v>1240152</v>
      </c>
      <c r="B269" s="54">
        <v>107792</v>
      </c>
      <c r="C269" s="54" t="s">
        <v>606</v>
      </c>
      <c r="D269" s="51">
        <v>98683.440000002636</v>
      </c>
      <c r="E269" s="52"/>
      <c r="F269" s="51">
        <v>98683.440000002636</v>
      </c>
      <c r="G269" s="52"/>
      <c r="H269" s="53">
        <v>6084</v>
      </c>
      <c r="I269" s="52" t="s">
        <v>52</v>
      </c>
      <c r="J269" s="53">
        <v>6084</v>
      </c>
      <c r="K269" s="52"/>
      <c r="L269" s="53">
        <v>3997</v>
      </c>
      <c r="M269" s="52" t="s">
        <v>52</v>
      </c>
      <c r="N269" s="53">
        <v>3997</v>
      </c>
      <c r="O269" s="52"/>
      <c r="P269" s="51">
        <f t="shared" si="8"/>
        <v>1.5221416062046536</v>
      </c>
      <c r="Q269" s="50">
        <f t="shared" si="9"/>
        <v>24.689377032775241</v>
      </c>
      <c r="R269" s="39" t="s">
        <v>54</v>
      </c>
    </row>
    <row r="270" spans="1:18" x14ac:dyDescent="0.35">
      <c r="A270" s="54">
        <v>1240026</v>
      </c>
      <c r="B270" s="54">
        <v>103445</v>
      </c>
      <c r="C270" s="54" t="s">
        <v>605</v>
      </c>
      <c r="D270" s="51">
        <v>98674.530000002778</v>
      </c>
      <c r="E270" s="52">
        <v>0.2838273029050859</v>
      </c>
      <c r="F270" s="51">
        <v>98674.530000002778</v>
      </c>
      <c r="G270" s="52">
        <v>0.2838273029050859</v>
      </c>
      <c r="H270" s="53">
        <v>6675</v>
      </c>
      <c r="I270" s="52">
        <v>0.13020656959024721</v>
      </c>
      <c r="J270" s="53">
        <v>6675</v>
      </c>
      <c r="K270" s="52">
        <v>0.13020656959024721</v>
      </c>
      <c r="L270" s="53">
        <v>4615</v>
      </c>
      <c r="M270" s="52">
        <v>0.13894373149062192</v>
      </c>
      <c r="N270" s="53">
        <v>4615</v>
      </c>
      <c r="O270" s="52">
        <v>0.13894373149062192</v>
      </c>
      <c r="P270" s="51">
        <f t="shared" si="8"/>
        <v>1.4463705308775732</v>
      </c>
      <c r="Q270" s="50">
        <f t="shared" si="9"/>
        <v>21.381263271939929</v>
      </c>
      <c r="R270" s="39" t="s">
        <v>51</v>
      </c>
    </row>
    <row r="271" spans="1:18" x14ac:dyDescent="0.35">
      <c r="A271" s="54">
        <v>1230019</v>
      </c>
      <c r="B271" s="54">
        <v>100541</v>
      </c>
      <c r="C271" s="54" t="s">
        <v>604</v>
      </c>
      <c r="D271" s="51">
        <v>98320.550000003161</v>
      </c>
      <c r="E271" s="52">
        <v>0.14897233460245901</v>
      </c>
      <c r="F271" s="51">
        <v>98320.550000003161</v>
      </c>
      <c r="G271" s="52">
        <v>0.14897233460245901</v>
      </c>
      <c r="H271" s="53">
        <v>6753</v>
      </c>
      <c r="I271" s="52">
        <v>5.0887021475256769E-2</v>
      </c>
      <c r="J271" s="53">
        <v>6753</v>
      </c>
      <c r="K271" s="52">
        <v>5.0887021475256769E-2</v>
      </c>
      <c r="L271" s="53">
        <v>5113</v>
      </c>
      <c r="M271" s="52">
        <v>5.01129595399466E-2</v>
      </c>
      <c r="N271" s="53">
        <v>5113</v>
      </c>
      <c r="O271" s="52">
        <v>5.01129595399466E-2</v>
      </c>
      <c r="P271" s="51">
        <f t="shared" si="8"/>
        <v>1.3207510267944456</v>
      </c>
      <c r="Q271" s="50">
        <f t="shared" si="9"/>
        <v>19.229522785058315</v>
      </c>
      <c r="R271" s="39" t="s">
        <v>51</v>
      </c>
    </row>
    <row r="272" spans="1:18" x14ac:dyDescent="0.35">
      <c r="A272" s="54">
        <v>1230011</v>
      </c>
      <c r="B272" s="54">
        <v>100456</v>
      </c>
      <c r="C272" s="54" t="s">
        <v>603</v>
      </c>
      <c r="D272" s="51">
        <v>97990.360000002329</v>
      </c>
      <c r="E272" s="52">
        <v>0.18988411574293668</v>
      </c>
      <c r="F272" s="51">
        <v>97990.360000002329</v>
      </c>
      <c r="G272" s="52">
        <v>0.18988411574293668</v>
      </c>
      <c r="H272" s="53">
        <v>7227</v>
      </c>
      <c r="I272" s="52">
        <v>0.11977068484660676</v>
      </c>
      <c r="J272" s="53">
        <v>7227</v>
      </c>
      <c r="K272" s="52">
        <v>0.11977068484660676</v>
      </c>
      <c r="L272" s="53">
        <v>5816</v>
      </c>
      <c r="M272" s="52">
        <v>0.11824649105941165</v>
      </c>
      <c r="N272" s="53">
        <v>5816</v>
      </c>
      <c r="O272" s="52">
        <v>0.11824649105941165</v>
      </c>
      <c r="P272" s="51">
        <f t="shared" si="8"/>
        <v>1.2426066024759286</v>
      </c>
      <c r="Q272" s="50">
        <f t="shared" si="9"/>
        <v>16.848411279230113</v>
      </c>
      <c r="R272" s="39" t="s">
        <v>51</v>
      </c>
    </row>
    <row r="273" spans="1:18" x14ac:dyDescent="0.35">
      <c r="A273" s="54">
        <v>1170005</v>
      </c>
      <c r="B273" s="54">
        <v>103366</v>
      </c>
      <c r="C273" s="54" t="s">
        <v>602</v>
      </c>
      <c r="D273" s="51">
        <v>97195.020000002463</v>
      </c>
      <c r="E273" s="52">
        <v>-7.5763860401231689E-2</v>
      </c>
      <c r="F273" s="51">
        <v>97195.020000002463</v>
      </c>
      <c r="G273" s="52">
        <v>-7.5763860401231689E-2</v>
      </c>
      <c r="H273" s="53">
        <v>5382</v>
      </c>
      <c r="I273" s="52">
        <v>-0.10879284649776454</v>
      </c>
      <c r="J273" s="53">
        <v>5382</v>
      </c>
      <c r="K273" s="52">
        <v>-0.10879284649776454</v>
      </c>
      <c r="L273" s="53">
        <v>3450</v>
      </c>
      <c r="M273" s="52">
        <v>-8.706006880127018E-2</v>
      </c>
      <c r="N273" s="53">
        <v>3450</v>
      </c>
      <c r="O273" s="52">
        <v>-8.706006880127018E-2</v>
      </c>
      <c r="P273" s="51">
        <f t="shared" si="8"/>
        <v>1.56</v>
      </c>
      <c r="Q273" s="50">
        <f t="shared" si="9"/>
        <v>28.172469565218105</v>
      </c>
      <c r="R273" s="39" t="s">
        <v>54</v>
      </c>
    </row>
    <row r="274" spans="1:18" x14ac:dyDescent="0.35">
      <c r="A274" s="54">
        <v>1240229</v>
      </c>
      <c r="B274" s="54">
        <v>103853</v>
      </c>
      <c r="C274" s="54" t="s">
        <v>601</v>
      </c>
      <c r="D274" s="51">
        <v>96665.480000002426</v>
      </c>
      <c r="E274" s="52">
        <v>-1.8721401299275152E-2</v>
      </c>
      <c r="F274" s="51">
        <v>96665.480000002426</v>
      </c>
      <c r="G274" s="52">
        <v>-1.8721401299275152E-2</v>
      </c>
      <c r="H274" s="53">
        <v>6449</v>
      </c>
      <c r="I274" s="52">
        <v>-0.10529966703662597</v>
      </c>
      <c r="J274" s="53">
        <v>6449</v>
      </c>
      <c r="K274" s="52">
        <v>-0.10529966703662597</v>
      </c>
      <c r="L274" s="53">
        <v>3962</v>
      </c>
      <c r="M274" s="52">
        <v>-8.6675887505763022E-2</v>
      </c>
      <c r="N274" s="53">
        <v>3962</v>
      </c>
      <c r="O274" s="52">
        <v>-8.6675887505763022E-2</v>
      </c>
      <c r="P274" s="51">
        <f t="shared" si="8"/>
        <v>1.6277132761231701</v>
      </c>
      <c r="Q274" s="50">
        <f t="shared" si="9"/>
        <v>24.398152448259069</v>
      </c>
      <c r="R274" s="39" t="s">
        <v>54</v>
      </c>
    </row>
    <row r="275" spans="1:18" x14ac:dyDescent="0.35">
      <c r="A275" s="54">
        <v>1260035</v>
      </c>
      <c r="B275" s="54">
        <v>108159</v>
      </c>
      <c r="C275" s="54" t="s">
        <v>600</v>
      </c>
      <c r="D275" s="51">
        <v>96296.630000003148</v>
      </c>
      <c r="E275" s="52"/>
      <c r="F275" s="51"/>
      <c r="G275" s="52"/>
      <c r="H275" s="53">
        <v>5209</v>
      </c>
      <c r="I275" s="52" t="s">
        <v>52</v>
      </c>
      <c r="J275" s="53"/>
      <c r="K275" s="52"/>
      <c r="L275" s="53">
        <v>3346</v>
      </c>
      <c r="M275" s="52" t="s">
        <v>52</v>
      </c>
      <c r="N275" s="53"/>
      <c r="O275" s="52"/>
      <c r="P275" s="51">
        <f t="shared" si="8"/>
        <v>1.5567842199641362</v>
      </c>
      <c r="Q275" s="50">
        <f t="shared" si="9"/>
        <v>28.779626419606441</v>
      </c>
      <c r="R275" s="39" t="s">
        <v>54</v>
      </c>
    </row>
    <row r="276" spans="1:18" x14ac:dyDescent="0.35">
      <c r="A276" s="54">
        <v>1270032</v>
      </c>
      <c r="B276" s="54">
        <v>107360</v>
      </c>
      <c r="C276" s="54" t="s">
        <v>599</v>
      </c>
      <c r="D276" s="51">
        <v>96184.780000003084</v>
      </c>
      <c r="E276" s="52"/>
      <c r="F276" s="51"/>
      <c r="G276" s="52"/>
      <c r="H276" s="53">
        <v>6337</v>
      </c>
      <c r="I276" s="52" t="s">
        <v>52</v>
      </c>
      <c r="J276" s="53"/>
      <c r="K276" s="52"/>
      <c r="L276" s="53">
        <v>4042</v>
      </c>
      <c r="M276" s="52" t="s">
        <v>52</v>
      </c>
      <c r="N276" s="53"/>
      <c r="O276" s="52"/>
      <c r="P276" s="51">
        <f t="shared" si="8"/>
        <v>1.5677882236516576</v>
      </c>
      <c r="Q276" s="50">
        <f t="shared" si="9"/>
        <v>23.796333498268947</v>
      </c>
      <c r="R276" s="39" t="s">
        <v>54</v>
      </c>
    </row>
    <row r="277" spans="1:18" x14ac:dyDescent="0.35">
      <c r="A277" s="54">
        <v>1170006</v>
      </c>
      <c r="B277" s="54">
        <v>104287</v>
      </c>
      <c r="C277" s="54" t="s">
        <v>598</v>
      </c>
      <c r="D277" s="51">
        <v>96152.449999999953</v>
      </c>
      <c r="E277" s="52">
        <v>-8.9043600682518279E-2</v>
      </c>
      <c r="F277" s="51">
        <v>96152.449999999953</v>
      </c>
      <c r="G277" s="52">
        <v>-8.9043600682518279E-2</v>
      </c>
      <c r="H277" s="53">
        <v>4596</v>
      </c>
      <c r="I277" s="52">
        <v>-0.18220640569395019</v>
      </c>
      <c r="J277" s="53">
        <v>4596</v>
      </c>
      <c r="K277" s="52">
        <v>-0.18220640569395019</v>
      </c>
      <c r="L277" s="53">
        <v>3125</v>
      </c>
      <c r="M277" s="52">
        <v>-0.12611856823266218</v>
      </c>
      <c r="N277" s="53">
        <v>3125</v>
      </c>
      <c r="O277" s="52">
        <v>-0.12611856823266218</v>
      </c>
      <c r="P277" s="51">
        <f t="shared" si="8"/>
        <v>1.47072</v>
      </c>
      <c r="Q277" s="50">
        <f t="shared" si="9"/>
        <v>30.768783999999986</v>
      </c>
      <c r="R277" s="39" t="s">
        <v>51</v>
      </c>
    </row>
    <row r="278" spans="1:18" x14ac:dyDescent="0.35">
      <c r="A278" s="54">
        <v>1220008</v>
      </c>
      <c r="B278" s="54">
        <v>105544</v>
      </c>
      <c r="C278" s="54" t="s">
        <v>597</v>
      </c>
      <c r="D278" s="51">
        <v>95798.950000001205</v>
      </c>
      <c r="E278" s="52">
        <v>-3.7478757485985642E-2</v>
      </c>
      <c r="F278" s="51">
        <v>95798.950000001205</v>
      </c>
      <c r="G278" s="52">
        <v>-3.7478757485985642E-2</v>
      </c>
      <c r="H278" s="53">
        <v>4805</v>
      </c>
      <c r="I278" s="52">
        <v>-0.11526422389983429</v>
      </c>
      <c r="J278" s="53">
        <v>4805</v>
      </c>
      <c r="K278" s="52">
        <v>-0.11526422389983429</v>
      </c>
      <c r="L278" s="53">
        <v>3761</v>
      </c>
      <c r="M278" s="52">
        <v>-0.10431055013098357</v>
      </c>
      <c r="N278" s="53">
        <v>3761</v>
      </c>
      <c r="O278" s="52">
        <v>-0.10431055013098357</v>
      </c>
      <c r="P278" s="51">
        <f t="shared" si="8"/>
        <v>1.2775857484711513</v>
      </c>
      <c r="Q278" s="50">
        <f t="shared" si="9"/>
        <v>25.471669768678865</v>
      </c>
      <c r="R278" s="39" t="s">
        <v>51</v>
      </c>
    </row>
    <row r="279" spans="1:18" x14ac:dyDescent="0.35">
      <c r="A279" s="54">
        <v>1240012</v>
      </c>
      <c r="B279" s="54">
        <v>105366</v>
      </c>
      <c r="C279" s="54" t="s">
        <v>596</v>
      </c>
      <c r="D279" s="51">
        <v>95300.470000001689</v>
      </c>
      <c r="E279" s="52">
        <v>-8.7518249544997734E-2</v>
      </c>
      <c r="F279" s="51">
        <v>95300.470000001689</v>
      </c>
      <c r="G279" s="52">
        <v>-8.7518249544997734E-2</v>
      </c>
      <c r="H279" s="53">
        <v>6717</v>
      </c>
      <c r="I279" s="52">
        <v>-0.18601551139117789</v>
      </c>
      <c r="J279" s="53">
        <v>6717</v>
      </c>
      <c r="K279" s="52">
        <v>-0.18601551139117789</v>
      </c>
      <c r="L279" s="53">
        <v>4403</v>
      </c>
      <c r="M279" s="52">
        <v>-0.1700282752120641</v>
      </c>
      <c r="N279" s="53">
        <v>4403</v>
      </c>
      <c r="O279" s="52">
        <v>-0.1700282752120641</v>
      </c>
      <c r="P279" s="51">
        <f t="shared" si="8"/>
        <v>1.5255507608448784</v>
      </c>
      <c r="Q279" s="50">
        <f t="shared" si="9"/>
        <v>21.644440154440538</v>
      </c>
      <c r="R279" s="39" t="s">
        <v>54</v>
      </c>
    </row>
    <row r="280" spans="1:18" x14ac:dyDescent="0.35">
      <c r="A280" s="54">
        <v>1240217</v>
      </c>
      <c r="B280" s="54">
        <v>104221</v>
      </c>
      <c r="C280" s="54" t="s">
        <v>595</v>
      </c>
      <c r="D280" s="51">
        <v>94849.600000003178</v>
      </c>
      <c r="E280" s="52">
        <v>0.25253992000881864</v>
      </c>
      <c r="F280" s="51">
        <v>94849.600000003178</v>
      </c>
      <c r="G280" s="52">
        <v>0.25253992000881864</v>
      </c>
      <c r="H280" s="53">
        <v>5933</v>
      </c>
      <c r="I280" s="52">
        <v>0.1307413760243949</v>
      </c>
      <c r="J280" s="53">
        <v>5933</v>
      </c>
      <c r="K280" s="52">
        <v>0.1307413760243949</v>
      </c>
      <c r="L280" s="53">
        <v>4501</v>
      </c>
      <c r="M280" s="52">
        <v>0.16214820552543249</v>
      </c>
      <c r="N280" s="53">
        <v>4501</v>
      </c>
      <c r="O280" s="52">
        <v>0.16214820552543249</v>
      </c>
      <c r="P280" s="51">
        <f t="shared" si="8"/>
        <v>1.3181515218840258</v>
      </c>
      <c r="Q280" s="50">
        <f t="shared" si="9"/>
        <v>21.073005998667668</v>
      </c>
      <c r="R280" s="39" t="s">
        <v>51</v>
      </c>
    </row>
    <row r="281" spans="1:18" x14ac:dyDescent="0.35">
      <c r="A281" s="54">
        <v>1210019</v>
      </c>
      <c r="B281" s="54">
        <v>101660</v>
      </c>
      <c r="C281" s="54" t="s">
        <v>594</v>
      </c>
      <c r="D281" s="51">
        <v>94828.480000001349</v>
      </c>
      <c r="E281" s="52"/>
      <c r="F281" s="51">
        <v>94828.480000001349</v>
      </c>
      <c r="G281" s="52"/>
      <c r="H281" s="53">
        <v>4938</v>
      </c>
      <c r="I281" s="52" t="s">
        <v>52</v>
      </c>
      <c r="J281" s="53">
        <v>4938</v>
      </c>
      <c r="K281" s="52"/>
      <c r="L281" s="53">
        <v>3954</v>
      </c>
      <c r="M281" s="52" t="s">
        <v>52</v>
      </c>
      <c r="N281" s="53">
        <v>3954</v>
      </c>
      <c r="O281" s="52"/>
      <c r="P281" s="51">
        <f t="shared" si="8"/>
        <v>1.2488619119878603</v>
      </c>
      <c r="Q281" s="50">
        <f t="shared" si="9"/>
        <v>23.982923621649306</v>
      </c>
      <c r="R281" s="39" t="s">
        <v>51</v>
      </c>
    </row>
    <row r="282" spans="1:18" x14ac:dyDescent="0.35">
      <c r="A282" s="54">
        <v>1190031</v>
      </c>
      <c r="B282" s="54">
        <v>107353</v>
      </c>
      <c r="C282" s="54" t="s">
        <v>593</v>
      </c>
      <c r="D282" s="51">
        <v>94457.870000002862</v>
      </c>
      <c r="E282" s="52">
        <v>3.2874902864323641</v>
      </c>
      <c r="F282" s="51">
        <v>50084.809999999517</v>
      </c>
      <c r="G282" s="52">
        <v>1.273374747628778</v>
      </c>
      <c r="H282" s="53">
        <v>5304</v>
      </c>
      <c r="I282" s="52">
        <v>3.3511074651353567</v>
      </c>
      <c r="J282" s="53">
        <v>2881</v>
      </c>
      <c r="K282" s="52">
        <v>1.3634126333059886</v>
      </c>
      <c r="L282" s="53">
        <v>3704</v>
      </c>
      <c r="M282" s="52">
        <v>3.4095238095238094</v>
      </c>
      <c r="N282" s="53">
        <v>1964</v>
      </c>
      <c r="O282" s="52">
        <v>1.338095238095238</v>
      </c>
      <c r="P282" s="51">
        <f t="shared" si="8"/>
        <v>1.4319654427645789</v>
      </c>
      <c r="Q282" s="50">
        <f t="shared" si="9"/>
        <v>25.501584773218916</v>
      </c>
      <c r="R282" s="39" t="s">
        <v>51</v>
      </c>
    </row>
    <row r="283" spans="1:18" x14ac:dyDescent="0.35">
      <c r="A283" s="54">
        <v>1240058</v>
      </c>
      <c r="B283" s="54">
        <v>100834</v>
      </c>
      <c r="C283" s="54" t="s">
        <v>592</v>
      </c>
      <c r="D283" s="51">
        <v>94160.410000001211</v>
      </c>
      <c r="E283" s="52">
        <v>-7.6484792371811799E-2</v>
      </c>
      <c r="F283" s="51">
        <v>94160.410000001211</v>
      </c>
      <c r="G283" s="52">
        <v>-7.6484792371811799E-2</v>
      </c>
      <c r="H283" s="53">
        <v>6916</v>
      </c>
      <c r="I283" s="52">
        <v>-0.14785608674223755</v>
      </c>
      <c r="J283" s="53">
        <v>6916</v>
      </c>
      <c r="K283" s="52">
        <v>-0.14785608674223755</v>
      </c>
      <c r="L283" s="53">
        <v>3997</v>
      </c>
      <c r="M283" s="52">
        <v>-0.14411134903640258</v>
      </c>
      <c r="N283" s="53">
        <v>3997</v>
      </c>
      <c r="O283" s="52">
        <v>-0.14411134903640258</v>
      </c>
      <c r="P283" s="51">
        <f t="shared" si="8"/>
        <v>1.7302977232924694</v>
      </c>
      <c r="Q283" s="50">
        <f t="shared" si="9"/>
        <v>23.557770828121395</v>
      </c>
      <c r="R283" s="39" t="s">
        <v>54</v>
      </c>
    </row>
    <row r="284" spans="1:18" x14ac:dyDescent="0.35">
      <c r="A284" s="54">
        <v>1230091</v>
      </c>
      <c r="B284" s="54">
        <v>104811</v>
      </c>
      <c r="C284" s="54" t="s">
        <v>591</v>
      </c>
      <c r="D284" s="51">
        <v>93798.800000002288</v>
      </c>
      <c r="E284" s="52">
        <v>0.11234654046314585</v>
      </c>
      <c r="F284" s="51">
        <v>93798.800000002288</v>
      </c>
      <c r="G284" s="52">
        <v>0.11234654046314585</v>
      </c>
      <c r="H284" s="53">
        <v>6011</v>
      </c>
      <c r="I284" s="52">
        <v>-1.7810457516339868E-2</v>
      </c>
      <c r="J284" s="53">
        <v>6011</v>
      </c>
      <c r="K284" s="52">
        <v>-1.7810457516339868E-2</v>
      </c>
      <c r="L284" s="53">
        <v>4143</v>
      </c>
      <c r="M284" s="52">
        <v>-1.2866333095067906E-2</v>
      </c>
      <c r="N284" s="53">
        <v>4143</v>
      </c>
      <c r="O284" s="52">
        <v>-1.2866333095067906E-2</v>
      </c>
      <c r="P284" s="51">
        <f t="shared" si="8"/>
        <v>1.4508810041033069</v>
      </c>
      <c r="Q284" s="50">
        <f t="shared" si="9"/>
        <v>22.640308954864178</v>
      </c>
      <c r="R284" s="39" t="s">
        <v>51</v>
      </c>
    </row>
    <row r="285" spans="1:18" x14ac:dyDescent="0.35">
      <c r="A285" s="54">
        <v>1230092</v>
      </c>
      <c r="B285" s="54">
        <v>104813</v>
      </c>
      <c r="C285" s="54" t="s">
        <v>590</v>
      </c>
      <c r="D285" s="51">
        <v>93323.970000002417</v>
      </c>
      <c r="E285" s="52">
        <v>-0.21598718279263524</v>
      </c>
      <c r="F285" s="51">
        <v>93323.970000002417</v>
      </c>
      <c r="G285" s="52">
        <v>-0.21598718279263524</v>
      </c>
      <c r="H285" s="53">
        <v>5439</v>
      </c>
      <c r="I285" s="52">
        <v>-0.24782187802516942</v>
      </c>
      <c r="J285" s="53">
        <v>5439</v>
      </c>
      <c r="K285" s="52">
        <v>-0.24782187802516942</v>
      </c>
      <c r="L285" s="53">
        <v>3414</v>
      </c>
      <c r="M285" s="52">
        <v>-0.24735449735449735</v>
      </c>
      <c r="N285" s="53">
        <v>3414</v>
      </c>
      <c r="O285" s="52">
        <v>-0.24735449735449735</v>
      </c>
      <c r="P285" s="51">
        <f t="shared" si="8"/>
        <v>1.593145869947276</v>
      </c>
      <c r="Q285" s="50">
        <f t="shared" si="9"/>
        <v>27.335667838313537</v>
      </c>
      <c r="R285" s="39" t="s">
        <v>54</v>
      </c>
    </row>
    <row r="286" spans="1:18" x14ac:dyDescent="0.35">
      <c r="A286" s="54">
        <v>1240087</v>
      </c>
      <c r="B286" s="54">
        <v>100649</v>
      </c>
      <c r="C286" s="54" t="s">
        <v>589</v>
      </c>
      <c r="D286" s="51">
        <v>92816.300000001851</v>
      </c>
      <c r="E286" s="52">
        <v>-4.9430167918162696E-2</v>
      </c>
      <c r="F286" s="51">
        <v>92816.300000001851</v>
      </c>
      <c r="G286" s="52">
        <v>-4.9430167918162696E-2</v>
      </c>
      <c r="H286" s="53">
        <v>6525</v>
      </c>
      <c r="I286" s="52">
        <v>-0.11224731361275213</v>
      </c>
      <c r="J286" s="53">
        <v>6525</v>
      </c>
      <c r="K286" s="52">
        <v>-0.11224731361275213</v>
      </c>
      <c r="L286" s="53">
        <v>4115</v>
      </c>
      <c r="M286" s="52">
        <v>-9.818102125794434E-2</v>
      </c>
      <c r="N286" s="53">
        <v>4115</v>
      </c>
      <c r="O286" s="52">
        <v>-9.818102125794434E-2</v>
      </c>
      <c r="P286" s="51">
        <f t="shared" si="8"/>
        <v>1.5856622114216281</v>
      </c>
      <c r="Q286" s="50">
        <f t="shared" si="9"/>
        <v>22.555601458080645</v>
      </c>
      <c r="R286" s="39" t="s">
        <v>54</v>
      </c>
    </row>
    <row r="287" spans="1:18" x14ac:dyDescent="0.35">
      <c r="A287" s="54">
        <v>1240048</v>
      </c>
      <c r="B287" s="54">
        <v>100918</v>
      </c>
      <c r="C287" s="54" t="s">
        <v>588</v>
      </c>
      <c r="D287" s="51">
        <v>92795.790000001798</v>
      </c>
      <c r="E287" s="52">
        <v>0.30423726276531099</v>
      </c>
      <c r="F287" s="51">
        <v>92795.790000001798</v>
      </c>
      <c r="G287" s="52">
        <v>0.30423726276531099</v>
      </c>
      <c r="H287" s="53">
        <v>6757</v>
      </c>
      <c r="I287" s="52">
        <v>0.19066079295154184</v>
      </c>
      <c r="J287" s="53">
        <v>6757</v>
      </c>
      <c r="K287" s="52">
        <v>0.19066079295154184</v>
      </c>
      <c r="L287" s="53">
        <v>4514</v>
      </c>
      <c r="M287" s="52">
        <v>0.23434509160514083</v>
      </c>
      <c r="N287" s="53">
        <v>4514</v>
      </c>
      <c r="O287" s="52">
        <v>0.23434509160514083</v>
      </c>
      <c r="P287" s="51">
        <f t="shared" si="8"/>
        <v>1.4968985378821444</v>
      </c>
      <c r="Q287" s="50">
        <f t="shared" si="9"/>
        <v>20.557330527248958</v>
      </c>
      <c r="R287" s="39" t="s">
        <v>51</v>
      </c>
    </row>
    <row r="288" spans="1:18" x14ac:dyDescent="0.35">
      <c r="A288" s="54">
        <v>1270005</v>
      </c>
      <c r="B288" s="54">
        <v>105417</v>
      </c>
      <c r="C288" s="54" t="s">
        <v>587</v>
      </c>
      <c r="D288" s="51">
        <v>92499.770000003104</v>
      </c>
      <c r="E288" s="52">
        <v>4.5356728588132667E-2</v>
      </c>
      <c r="F288" s="51">
        <v>92499.770000003104</v>
      </c>
      <c r="G288" s="52">
        <v>4.5356728588132667E-2</v>
      </c>
      <c r="H288" s="53">
        <v>6749</v>
      </c>
      <c r="I288" s="52">
        <v>-1.7755785184107118E-2</v>
      </c>
      <c r="J288" s="53">
        <v>6749</v>
      </c>
      <c r="K288" s="52">
        <v>-1.7755785184107118E-2</v>
      </c>
      <c r="L288" s="53">
        <v>4610</v>
      </c>
      <c r="M288" s="52">
        <v>-2.9677962534203326E-2</v>
      </c>
      <c r="N288" s="53">
        <v>4610</v>
      </c>
      <c r="O288" s="52">
        <v>-2.9677962534203326E-2</v>
      </c>
      <c r="P288" s="51">
        <f t="shared" si="8"/>
        <v>1.4639913232104123</v>
      </c>
      <c r="Q288" s="50">
        <f t="shared" si="9"/>
        <v>20.065026030369438</v>
      </c>
      <c r="R288" s="39" t="s">
        <v>51</v>
      </c>
    </row>
    <row r="289" spans="1:18" x14ac:dyDescent="0.35">
      <c r="A289" s="54">
        <v>1200027</v>
      </c>
      <c r="B289" s="54">
        <v>107836</v>
      </c>
      <c r="C289" s="54" t="s">
        <v>586</v>
      </c>
      <c r="D289" s="51">
        <v>91608.649999999761</v>
      </c>
      <c r="E289" s="52"/>
      <c r="F289" s="51"/>
      <c r="G289" s="52"/>
      <c r="H289" s="53">
        <v>4349</v>
      </c>
      <c r="I289" s="52" t="s">
        <v>52</v>
      </c>
      <c r="J289" s="53"/>
      <c r="K289" s="52"/>
      <c r="L289" s="53">
        <v>3480</v>
      </c>
      <c r="M289" s="52" t="s">
        <v>52</v>
      </c>
      <c r="N289" s="53"/>
      <c r="O289" s="52"/>
      <c r="P289" s="51">
        <f t="shared" si="8"/>
        <v>1.2497126436781609</v>
      </c>
      <c r="Q289" s="50">
        <f t="shared" si="9"/>
        <v>26.324324712643609</v>
      </c>
      <c r="R289" s="39" t="s">
        <v>51</v>
      </c>
    </row>
    <row r="290" spans="1:18" x14ac:dyDescent="0.35">
      <c r="A290" s="54">
        <v>1240034</v>
      </c>
      <c r="B290" s="54">
        <v>100324</v>
      </c>
      <c r="C290" s="54" t="s">
        <v>585</v>
      </c>
      <c r="D290" s="51">
        <v>91595.420000002108</v>
      </c>
      <c r="E290" s="52">
        <v>-1.1702736824740047E-2</v>
      </c>
      <c r="F290" s="51">
        <v>91595.420000002108</v>
      </c>
      <c r="G290" s="52">
        <v>-1.1702736824740047E-2</v>
      </c>
      <c r="H290" s="53">
        <v>5841</v>
      </c>
      <c r="I290" s="52">
        <v>-0.10496475635917867</v>
      </c>
      <c r="J290" s="53">
        <v>5841</v>
      </c>
      <c r="K290" s="52">
        <v>-0.10496475635917867</v>
      </c>
      <c r="L290" s="53">
        <v>3852</v>
      </c>
      <c r="M290" s="52">
        <v>-9.6410978184377202E-2</v>
      </c>
      <c r="N290" s="53">
        <v>3852</v>
      </c>
      <c r="O290" s="52">
        <v>-9.6410978184377202E-2</v>
      </c>
      <c r="P290" s="51">
        <f t="shared" si="8"/>
        <v>1.516355140186916</v>
      </c>
      <c r="Q290" s="50">
        <f t="shared" si="9"/>
        <v>23.778665628245616</v>
      </c>
      <c r="R290" s="39" t="s">
        <v>54</v>
      </c>
    </row>
    <row r="291" spans="1:18" x14ac:dyDescent="0.35">
      <c r="A291" s="54">
        <v>1240176</v>
      </c>
      <c r="B291" s="54">
        <v>105567</v>
      </c>
      <c r="C291" s="54" t="s">
        <v>584</v>
      </c>
      <c r="D291" s="51">
        <v>91382.710000002902</v>
      </c>
      <c r="E291" s="52">
        <v>-0.40290518718738566</v>
      </c>
      <c r="F291" s="51">
        <v>91382.710000002902</v>
      </c>
      <c r="G291" s="52">
        <v>-0.24039144033486734</v>
      </c>
      <c r="H291" s="53">
        <v>6039</v>
      </c>
      <c r="I291" s="52">
        <v>-0.46467511745412643</v>
      </c>
      <c r="J291" s="53">
        <v>6039</v>
      </c>
      <c r="K291" s="52">
        <v>-0.30602160422891289</v>
      </c>
      <c r="L291" s="53">
        <v>3853</v>
      </c>
      <c r="M291" s="52">
        <v>-0.46855172413793106</v>
      </c>
      <c r="N291" s="53">
        <v>3853</v>
      </c>
      <c r="O291" s="52">
        <v>-0.30576576576576575</v>
      </c>
      <c r="P291" s="51">
        <f t="shared" si="8"/>
        <v>1.56735011679211</v>
      </c>
      <c r="Q291" s="50">
        <f t="shared" si="9"/>
        <v>23.717287827667505</v>
      </c>
      <c r="R291" s="39" t="s">
        <v>54</v>
      </c>
    </row>
    <row r="292" spans="1:18" x14ac:dyDescent="0.35">
      <c r="A292" s="54">
        <v>1190009</v>
      </c>
      <c r="B292" s="54">
        <v>103469</v>
      </c>
      <c r="C292" s="54" t="s">
        <v>583</v>
      </c>
      <c r="D292" s="51">
        <v>91343.300000002579</v>
      </c>
      <c r="E292" s="52">
        <v>5.9769464961076345E-2</v>
      </c>
      <c r="F292" s="51">
        <v>91343.300000002579</v>
      </c>
      <c r="G292" s="52">
        <v>5.9769464961076345E-2</v>
      </c>
      <c r="H292" s="53">
        <v>4891</v>
      </c>
      <c r="I292" s="52">
        <v>-3.5115407378181099E-2</v>
      </c>
      <c r="J292" s="53">
        <v>4891</v>
      </c>
      <c r="K292" s="52">
        <v>-3.5115407378181099E-2</v>
      </c>
      <c r="L292" s="53">
        <v>3716</v>
      </c>
      <c r="M292" s="52">
        <v>-3.2795419052576782E-2</v>
      </c>
      <c r="N292" s="53">
        <v>3716</v>
      </c>
      <c r="O292" s="52">
        <v>-3.2795419052576782E-2</v>
      </c>
      <c r="P292" s="51">
        <f t="shared" si="8"/>
        <v>1.316200215285253</v>
      </c>
      <c r="Q292" s="50">
        <f t="shared" si="9"/>
        <v>24.581081808396817</v>
      </c>
      <c r="R292" s="39" t="s">
        <v>51</v>
      </c>
    </row>
    <row r="293" spans="1:18" x14ac:dyDescent="0.35">
      <c r="A293" s="54">
        <v>1240248</v>
      </c>
      <c r="B293" s="54">
        <v>104919</v>
      </c>
      <c r="C293" s="54" t="s">
        <v>582</v>
      </c>
      <c r="D293" s="51">
        <v>91273.87000000244</v>
      </c>
      <c r="E293" s="52">
        <v>-5.3239665348635886E-3</v>
      </c>
      <c r="F293" s="51">
        <v>91273.87000000244</v>
      </c>
      <c r="G293" s="52">
        <v>-5.3239665348635886E-3</v>
      </c>
      <c r="H293" s="53">
        <v>5083</v>
      </c>
      <c r="I293" s="52">
        <v>-0.13244580986516472</v>
      </c>
      <c r="J293" s="53">
        <v>5083</v>
      </c>
      <c r="K293" s="52">
        <v>-0.13244580986516472</v>
      </c>
      <c r="L293" s="53">
        <v>3620</v>
      </c>
      <c r="M293" s="52">
        <v>-0.115995115995116</v>
      </c>
      <c r="N293" s="53">
        <v>3620</v>
      </c>
      <c r="O293" s="52">
        <v>-0.115995115995116</v>
      </c>
      <c r="P293" s="51">
        <f t="shared" si="8"/>
        <v>1.4041436464088397</v>
      </c>
      <c r="Q293" s="50">
        <f t="shared" si="9"/>
        <v>25.213776243094596</v>
      </c>
      <c r="R293" s="39" t="s">
        <v>51</v>
      </c>
    </row>
    <row r="294" spans="1:18" x14ac:dyDescent="0.35">
      <c r="A294" s="54">
        <v>1260030</v>
      </c>
      <c r="B294" s="54">
        <v>107015</v>
      </c>
      <c r="C294" s="54" t="s">
        <v>581</v>
      </c>
      <c r="D294" s="51">
        <v>91053.200000002849</v>
      </c>
      <c r="E294" s="52">
        <v>0.30515557753436934</v>
      </c>
      <c r="F294" s="51">
        <v>91053.200000002849</v>
      </c>
      <c r="G294" s="52">
        <v>0.30515557753436934</v>
      </c>
      <c r="H294" s="53">
        <v>5189</v>
      </c>
      <c r="I294" s="52">
        <v>0.25702519379844962</v>
      </c>
      <c r="J294" s="53">
        <v>5189</v>
      </c>
      <c r="K294" s="52">
        <v>0.25702519379844962</v>
      </c>
      <c r="L294" s="53">
        <v>3683</v>
      </c>
      <c r="M294" s="52">
        <v>0.23383584589614739</v>
      </c>
      <c r="N294" s="53">
        <v>3683</v>
      </c>
      <c r="O294" s="52">
        <v>0.23383584589614739</v>
      </c>
      <c r="P294" s="51">
        <f t="shared" si="8"/>
        <v>1.4089057833288081</v>
      </c>
      <c r="Q294" s="50">
        <f t="shared" si="9"/>
        <v>24.72256312788565</v>
      </c>
      <c r="R294" s="39" t="s">
        <v>51</v>
      </c>
    </row>
    <row r="295" spans="1:18" x14ac:dyDescent="0.35">
      <c r="A295" s="54">
        <v>1200025</v>
      </c>
      <c r="B295" s="54">
        <v>107310</v>
      </c>
      <c r="C295" s="54" t="s">
        <v>580</v>
      </c>
      <c r="D295" s="51">
        <v>91027.480000000069</v>
      </c>
      <c r="E295" s="52">
        <v>-7.5410145112722815E-2</v>
      </c>
      <c r="F295" s="51">
        <v>91027.480000000069</v>
      </c>
      <c r="G295" s="52">
        <v>-7.5410145112722815E-2</v>
      </c>
      <c r="H295" s="53">
        <v>4418</v>
      </c>
      <c r="I295" s="52">
        <v>-0.13542074363992171</v>
      </c>
      <c r="J295" s="53">
        <v>4418</v>
      </c>
      <c r="K295" s="52">
        <v>-0.13542074363992171</v>
      </c>
      <c r="L295" s="53">
        <v>3094</v>
      </c>
      <c r="M295" s="52">
        <v>-0.15855316834375849</v>
      </c>
      <c r="N295" s="53">
        <v>3094</v>
      </c>
      <c r="O295" s="52">
        <v>-0.15855316834375849</v>
      </c>
      <c r="P295" s="51">
        <f t="shared" si="8"/>
        <v>1.4279250161603103</v>
      </c>
      <c r="Q295" s="50">
        <f t="shared" si="9"/>
        <v>29.420646412411141</v>
      </c>
      <c r="R295" s="39" t="s">
        <v>51</v>
      </c>
    </row>
    <row r="296" spans="1:18" x14ac:dyDescent="0.35">
      <c r="A296" s="54">
        <v>1240352</v>
      </c>
      <c r="B296" s="54">
        <v>106545</v>
      </c>
      <c r="C296" s="54" t="s">
        <v>579</v>
      </c>
      <c r="D296" s="51">
        <v>90602.620000002746</v>
      </c>
      <c r="E296" s="52">
        <v>-7.6610513516012788E-3</v>
      </c>
      <c r="F296" s="51">
        <v>90602.620000002746</v>
      </c>
      <c r="G296" s="52">
        <v>-7.6610513516012788E-3</v>
      </c>
      <c r="H296" s="53">
        <v>5788</v>
      </c>
      <c r="I296" s="52">
        <v>-8.965083359547027E-2</v>
      </c>
      <c r="J296" s="53">
        <v>5788</v>
      </c>
      <c r="K296" s="52">
        <v>-8.965083359547027E-2</v>
      </c>
      <c r="L296" s="53">
        <v>4111</v>
      </c>
      <c r="M296" s="52">
        <v>-6.6742338251986374E-2</v>
      </c>
      <c r="N296" s="53">
        <v>4111</v>
      </c>
      <c r="O296" s="52">
        <v>-6.6742338251986374E-2</v>
      </c>
      <c r="P296" s="51">
        <f t="shared" si="8"/>
        <v>1.4079299440525419</v>
      </c>
      <c r="Q296" s="50">
        <f t="shared" si="9"/>
        <v>22.039070785697579</v>
      </c>
      <c r="R296" s="39" t="s">
        <v>51</v>
      </c>
    </row>
    <row r="297" spans="1:18" x14ac:dyDescent="0.35">
      <c r="A297" s="54">
        <v>1160004</v>
      </c>
      <c r="B297" s="54">
        <v>106468</v>
      </c>
      <c r="C297" s="54" t="s">
        <v>578</v>
      </c>
      <c r="D297" s="51">
        <v>90565.840000002761</v>
      </c>
      <c r="E297" s="52">
        <v>-0.14566033150881055</v>
      </c>
      <c r="F297" s="51">
        <v>90565.840000002761</v>
      </c>
      <c r="G297" s="52">
        <v>-0.14566033150881055</v>
      </c>
      <c r="H297" s="53">
        <v>5890</v>
      </c>
      <c r="I297" s="52">
        <v>-0.22254487856388597</v>
      </c>
      <c r="J297" s="53">
        <v>5890</v>
      </c>
      <c r="K297" s="52">
        <v>-0.22254487856388597</v>
      </c>
      <c r="L297" s="53">
        <v>4056</v>
      </c>
      <c r="M297" s="52">
        <v>-0.21668597914252608</v>
      </c>
      <c r="N297" s="53">
        <v>4056</v>
      </c>
      <c r="O297" s="52">
        <v>-0.21668597914252608</v>
      </c>
      <c r="P297" s="51">
        <f t="shared" si="8"/>
        <v>1.4521696252465484</v>
      </c>
      <c r="Q297" s="50">
        <f t="shared" si="9"/>
        <v>22.328856015779774</v>
      </c>
      <c r="R297" s="39" t="s">
        <v>51</v>
      </c>
    </row>
    <row r="298" spans="1:18" x14ac:dyDescent="0.35">
      <c r="A298" s="54">
        <v>1210084</v>
      </c>
      <c r="B298" s="54">
        <v>106986</v>
      </c>
      <c r="C298" s="54" t="s">
        <v>577</v>
      </c>
      <c r="D298" s="51">
        <v>90375.220000001747</v>
      </c>
      <c r="E298" s="52">
        <v>1.1940760213020238</v>
      </c>
      <c r="F298" s="51">
        <v>90375.220000001747</v>
      </c>
      <c r="G298" s="52">
        <v>1.1940760213020238</v>
      </c>
      <c r="H298" s="53">
        <v>5929</v>
      </c>
      <c r="I298" s="52">
        <v>1.1107155571377714</v>
      </c>
      <c r="J298" s="53">
        <v>5929</v>
      </c>
      <c r="K298" s="52">
        <v>1.1107155571377714</v>
      </c>
      <c r="L298" s="53">
        <v>3625</v>
      </c>
      <c r="M298" s="52">
        <v>1.0016565433462175</v>
      </c>
      <c r="N298" s="53">
        <v>3625</v>
      </c>
      <c r="O298" s="52">
        <v>1.0016565433462175</v>
      </c>
      <c r="P298" s="51">
        <f t="shared" si="8"/>
        <v>1.6355862068965517</v>
      </c>
      <c r="Q298" s="50">
        <f t="shared" si="9"/>
        <v>24.931095172414274</v>
      </c>
      <c r="R298" s="39" t="s">
        <v>54</v>
      </c>
    </row>
    <row r="299" spans="1:18" x14ac:dyDescent="0.35">
      <c r="A299" s="54">
        <v>1190008</v>
      </c>
      <c r="B299" s="54">
        <v>106438</v>
      </c>
      <c r="C299" s="54" t="s">
        <v>576</v>
      </c>
      <c r="D299" s="51">
        <v>90309.390000002473</v>
      </c>
      <c r="E299" s="52">
        <v>0.18126751606189107</v>
      </c>
      <c r="F299" s="51">
        <v>90309.390000002473</v>
      </c>
      <c r="G299" s="52">
        <v>0.18126751606189107</v>
      </c>
      <c r="H299" s="53">
        <v>5049</v>
      </c>
      <c r="I299" s="52">
        <v>9.8324994561670653E-2</v>
      </c>
      <c r="J299" s="53">
        <v>5049</v>
      </c>
      <c r="K299" s="52">
        <v>9.8324994561670653E-2</v>
      </c>
      <c r="L299" s="53">
        <v>3480</v>
      </c>
      <c r="M299" s="52">
        <v>9.7099621689785628E-2</v>
      </c>
      <c r="N299" s="53">
        <v>3480</v>
      </c>
      <c r="O299" s="52">
        <v>9.7099621689785628E-2</v>
      </c>
      <c r="P299" s="51">
        <f t="shared" si="8"/>
        <v>1.4508620689655172</v>
      </c>
      <c r="Q299" s="50">
        <f t="shared" si="9"/>
        <v>25.950974137931745</v>
      </c>
      <c r="R299" s="39" t="s">
        <v>51</v>
      </c>
    </row>
    <row r="300" spans="1:18" x14ac:dyDescent="0.35">
      <c r="A300" s="54">
        <v>1240321</v>
      </c>
      <c r="B300" s="54">
        <v>105619</v>
      </c>
      <c r="C300" s="54" t="s">
        <v>575</v>
      </c>
      <c r="D300" s="51">
        <v>90216.160000001997</v>
      </c>
      <c r="E300" s="52">
        <v>0.30049578647093578</v>
      </c>
      <c r="F300" s="51">
        <v>90216.160000001997</v>
      </c>
      <c r="G300" s="52">
        <v>0.30049578647093578</v>
      </c>
      <c r="H300" s="53">
        <v>6131</v>
      </c>
      <c r="I300" s="52">
        <v>0.1833622852731133</v>
      </c>
      <c r="J300" s="53">
        <v>6131</v>
      </c>
      <c r="K300" s="52">
        <v>0.1833622852731133</v>
      </c>
      <c r="L300" s="53">
        <v>4010</v>
      </c>
      <c r="M300" s="52">
        <v>0.17802585193889542</v>
      </c>
      <c r="N300" s="53">
        <v>4010</v>
      </c>
      <c r="O300" s="52">
        <v>0.17802585193889542</v>
      </c>
      <c r="P300" s="51">
        <f t="shared" si="8"/>
        <v>1.528927680798005</v>
      </c>
      <c r="Q300" s="50">
        <f t="shared" si="9"/>
        <v>22.497795511222442</v>
      </c>
      <c r="R300" s="39" t="s">
        <v>54</v>
      </c>
    </row>
    <row r="301" spans="1:18" x14ac:dyDescent="0.35">
      <c r="A301" s="54">
        <v>1240236</v>
      </c>
      <c r="B301" s="54">
        <v>104131</v>
      </c>
      <c r="C301" s="54" t="s">
        <v>574</v>
      </c>
      <c r="D301" s="51">
        <v>89906.680000001827</v>
      </c>
      <c r="E301" s="52">
        <v>0.10102211102060489</v>
      </c>
      <c r="F301" s="51">
        <v>89906.680000001827</v>
      </c>
      <c r="G301" s="52">
        <v>0.10102211102060489</v>
      </c>
      <c r="H301" s="53">
        <v>6423</v>
      </c>
      <c r="I301" s="52">
        <v>-4.494730316181029E-3</v>
      </c>
      <c r="J301" s="53">
        <v>6423</v>
      </c>
      <c r="K301" s="52">
        <v>-4.494730316181029E-3</v>
      </c>
      <c r="L301" s="53">
        <v>4339</v>
      </c>
      <c r="M301" s="52">
        <v>-3.4919928825622774E-2</v>
      </c>
      <c r="N301" s="53">
        <v>4339</v>
      </c>
      <c r="O301" s="52">
        <v>-3.4919928825622774E-2</v>
      </c>
      <c r="P301" s="51">
        <f t="shared" si="8"/>
        <v>1.4802949988476608</v>
      </c>
      <c r="Q301" s="50">
        <f t="shared" si="9"/>
        <v>20.720599216409731</v>
      </c>
      <c r="R301" s="39" t="s">
        <v>51</v>
      </c>
    </row>
    <row r="302" spans="1:18" x14ac:dyDescent="0.35">
      <c r="A302" s="54">
        <v>1240017</v>
      </c>
      <c r="B302" s="54">
        <v>100637</v>
      </c>
      <c r="C302" s="54" t="s">
        <v>573</v>
      </c>
      <c r="D302" s="51">
        <v>89634.870000002542</v>
      </c>
      <c r="E302" s="52">
        <v>2.8574526864803836E-2</v>
      </c>
      <c r="F302" s="51">
        <v>89634.870000002542</v>
      </c>
      <c r="G302" s="52">
        <v>2.8574526864803836E-2</v>
      </c>
      <c r="H302" s="53">
        <v>5741</v>
      </c>
      <c r="I302" s="52">
        <v>-6.1007523716061496E-2</v>
      </c>
      <c r="J302" s="53">
        <v>5741</v>
      </c>
      <c r="K302" s="52">
        <v>-6.1007523716061496E-2</v>
      </c>
      <c r="L302" s="53">
        <v>4009</v>
      </c>
      <c r="M302" s="52">
        <v>-5.0674875680795643E-2</v>
      </c>
      <c r="N302" s="53">
        <v>4009</v>
      </c>
      <c r="O302" s="52">
        <v>-5.0674875680795643E-2</v>
      </c>
      <c r="P302" s="51">
        <f t="shared" si="8"/>
        <v>1.4320279371414317</v>
      </c>
      <c r="Q302" s="50">
        <f t="shared" si="9"/>
        <v>22.358411075081701</v>
      </c>
      <c r="R302" s="39" t="s">
        <v>51</v>
      </c>
    </row>
    <row r="303" spans="1:18" x14ac:dyDescent="0.35">
      <c r="A303" s="54">
        <v>1240293</v>
      </c>
      <c r="B303" s="54">
        <v>105213</v>
      </c>
      <c r="C303" s="54" t="s">
        <v>572</v>
      </c>
      <c r="D303" s="51">
        <v>89484.270000002522</v>
      </c>
      <c r="E303" s="52">
        <v>0.33982957965381466</v>
      </c>
      <c r="F303" s="51">
        <v>89484.270000002522</v>
      </c>
      <c r="G303" s="52">
        <v>0.33982957965381466</v>
      </c>
      <c r="H303" s="53">
        <v>6030</v>
      </c>
      <c r="I303" s="52">
        <v>0.23439099283520984</v>
      </c>
      <c r="J303" s="53">
        <v>6030</v>
      </c>
      <c r="K303" s="52">
        <v>0.23439099283520984</v>
      </c>
      <c r="L303" s="53">
        <v>4094</v>
      </c>
      <c r="M303" s="52">
        <v>0.2474101157830591</v>
      </c>
      <c r="N303" s="53">
        <v>4094</v>
      </c>
      <c r="O303" s="52">
        <v>0.2474101157830591</v>
      </c>
      <c r="P303" s="51">
        <f t="shared" si="8"/>
        <v>1.4728871519296531</v>
      </c>
      <c r="Q303" s="50">
        <f t="shared" si="9"/>
        <v>21.857418172936619</v>
      </c>
      <c r="R303" s="39" t="s">
        <v>51</v>
      </c>
    </row>
    <row r="304" spans="1:18" x14ac:dyDescent="0.35">
      <c r="A304" s="54">
        <v>1140002</v>
      </c>
      <c r="B304" s="54">
        <v>100340</v>
      </c>
      <c r="C304" s="54" t="s">
        <v>571</v>
      </c>
      <c r="D304" s="51">
        <v>89317.160000001779</v>
      </c>
      <c r="E304" s="52">
        <v>1.9929452255811525E-2</v>
      </c>
      <c r="F304" s="51">
        <v>89317.160000001779</v>
      </c>
      <c r="G304" s="52">
        <v>1.9929452255811525E-2</v>
      </c>
      <c r="H304" s="53">
        <v>5852</v>
      </c>
      <c r="I304" s="52">
        <v>-5.2921184657711604E-2</v>
      </c>
      <c r="J304" s="53">
        <v>5852</v>
      </c>
      <c r="K304" s="52">
        <v>-5.2921184657711604E-2</v>
      </c>
      <c r="L304" s="53">
        <v>3559</v>
      </c>
      <c r="M304" s="52">
        <v>-4.8650093557872226E-2</v>
      </c>
      <c r="N304" s="53">
        <v>3559</v>
      </c>
      <c r="O304" s="52">
        <v>-4.8650093557872226E-2</v>
      </c>
      <c r="P304" s="51">
        <f t="shared" si="8"/>
        <v>1.6442821017139646</v>
      </c>
      <c r="Q304" s="50">
        <f t="shared" si="9"/>
        <v>25.096139364990666</v>
      </c>
      <c r="R304" s="39" t="s">
        <v>54</v>
      </c>
    </row>
    <row r="305" spans="1:18" x14ac:dyDescent="0.35">
      <c r="A305" s="54">
        <v>1240254</v>
      </c>
      <c r="B305" s="54">
        <v>104522</v>
      </c>
      <c r="C305" s="54" t="s">
        <v>570</v>
      </c>
      <c r="D305" s="51">
        <v>87483.82000000219</v>
      </c>
      <c r="E305" s="52">
        <v>-0.12140960399577558</v>
      </c>
      <c r="F305" s="51">
        <v>87483.82000000219</v>
      </c>
      <c r="G305" s="52">
        <v>-0.12140960399577558</v>
      </c>
      <c r="H305" s="53">
        <v>5125.99</v>
      </c>
      <c r="I305" s="52">
        <v>-0.2555925065349986</v>
      </c>
      <c r="J305" s="53">
        <v>5125.99</v>
      </c>
      <c r="K305" s="52">
        <v>-0.2555925065349986</v>
      </c>
      <c r="L305" s="53">
        <v>3467</v>
      </c>
      <c r="M305" s="52">
        <v>-0.25950448526270825</v>
      </c>
      <c r="N305" s="53">
        <v>3467</v>
      </c>
      <c r="O305" s="52">
        <v>-0.25950448526270825</v>
      </c>
      <c r="P305" s="51">
        <f t="shared" si="8"/>
        <v>1.4785087972310353</v>
      </c>
      <c r="Q305" s="50">
        <f t="shared" si="9"/>
        <v>25.233291029709314</v>
      </c>
      <c r="R305" s="39" t="s">
        <v>51</v>
      </c>
    </row>
    <row r="306" spans="1:18" x14ac:dyDescent="0.35">
      <c r="A306" s="54">
        <v>1180004</v>
      </c>
      <c r="B306" s="54">
        <v>103712</v>
      </c>
      <c r="C306" s="54" t="s">
        <v>569</v>
      </c>
      <c r="D306" s="51">
        <v>87025.45000000071</v>
      </c>
      <c r="E306" s="52">
        <v>0.13573136610844194</v>
      </c>
      <c r="F306" s="51">
        <v>87025.45000000071</v>
      </c>
      <c r="G306" s="52">
        <v>0.13573136610844194</v>
      </c>
      <c r="H306" s="53">
        <v>4469</v>
      </c>
      <c r="I306" s="52">
        <v>1.6143701682582993E-2</v>
      </c>
      <c r="J306" s="53">
        <v>4469</v>
      </c>
      <c r="K306" s="52">
        <v>1.6143701682582993E-2</v>
      </c>
      <c r="L306" s="53">
        <v>2851</v>
      </c>
      <c r="M306" s="52">
        <v>0.15238480194017784</v>
      </c>
      <c r="N306" s="53">
        <v>2851</v>
      </c>
      <c r="O306" s="52">
        <v>0.15238480194017784</v>
      </c>
      <c r="P306" s="51">
        <f t="shared" si="8"/>
        <v>1.5675201683619782</v>
      </c>
      <c r="Q306" s="50">
        <f t="shared" si="9"/>
        <v>30.524535250789445</v>
      </c>
      <c r="R306" s="39" t="s">
        <v>54</v>
      </c>
    </row>
    <row r="307" spans="1:18" x14ac:dyDescent="0.35">
      <c r="A307" s="54">
        <v>1250020</v>
      </c>
      <c r="B307" s="54">
        <v>107076</v>
      </c>
      <c r="C307" s="54" t="s">
        <v>568</v>
      </c>
      <c r="D307" s="51">
        <v>86500.040000002075</v>
      </c>
      <c r="E307" s="52">
        <v>1.5524634937338865E-3</v>
      </c>
      <c r="F307" s="51">
        <v>86500.040000002075</v>
      </c>
      <c r="G307" s="52">
        <v>1.5524634937338865E-3</v>
      </c>
      <c r="H307" s="53">
        <v>5027</v>
      </c>
      <c r="I307" s="52">
        <v>-0.10519757920968316</v>
      </c>
      <c r="J307" s="53">
        <v>5027</v>
      </c>
      <c r="K307" s="52">
        <v>-0.10519757920968316</v>
      </c>
      <c r="L307" s="53">
        <v>3272</v>
      </c>
      <c r="M307" s="52">
        <v>-0.10868973031871425</v>
      </c>
      <c r="N307" s="53">
        <v>3272</v>
      </c>
      <c r="O307" s="52">
        <v>-0.10868973031871425</v>
      </c>
      <c r="P307" s="51">
        <f t="shared" si="8"/>
        <v>1.5363691931540342</v>
      </c>
      <c r="Q307" s="50">
        <f t="shared" si="9"/>
        <v>26.436442542787919</v>
      </c>
      <c r="R307" s="39" t="s">
        <v>54</v>
      </c>
    </row>
    <row r="308" spans="1:18" x14ac:dyDescent="0.35">
      <c r="A308" s="54">
        <v>1240040</v>
      </c>
      <c r="B308" s="54">
        <v>107130</v>
      </c>
      <c r="C308" s="54" t="s">
        <v>567</v>
      </c>
      <c r="D308" s="51">
        <v>86268.80000000271</v>
      </c>
      <c r="E308" s="52">
        <v>0.11745196165613331</v>
      </c>
      <c r="F308" s="51">
        <v>86268.80000000271</v>
      </c>
      <c r="G308" s="52">
        <v>0.11745196165613331</v>
      </c>
      <c r="H308" s="53">
        <v>5335</v>
      </c>
      <c r="I308" s="52">
        <v>3.7629350893697085E-3</v>
      </c>
      <c r="J308" s="53">
        <v>5335</v>
      </c>
      <c r="K308" s="52">
        <v>3.7629350893697085E-3</v>
      </c>
      <c r="L308" s="53">
        <v>4028</v>
      </c>
      <c r="M308" s="52">
        <v>6.3357972544878557E-2</v>
      </c>
      <c r="N308" s="53">
        <v>4028</v>
      </c>
      <c r="O308" s="52">
        <v>6.3357972544878557E-2</v>
      </c>
      <c r="P308" s="51">
        <f t="shared" si="8"/>
        <v>1.3244786494538232</v>
      </c>
      <c r="Q308" s="50">
        <f t="shared" si="9"/>
        <v>21.417279046673961</v>
      </c>
      <c r="R308" s="39" t="s">
        <v>51</v>
      </c>
    </row>
    <row r="309" spans="1:18" x14ac:dyDescent="0.35">
      <c r="A309" s="54">
        <v>1240413</v>
      </c>
      <c r="B309" s="54">
        <v>107332</v>
      </c>
      <c r="C309" s="54" t="s">
        <v>566</v>
      </c>
      <c r="D309" s="51">
        <v>86020.670000001803</v>
      </c>
      <c r="E309" s="52"/>
      <c r="F309" s="51"/>
      <c r="G309" s="52"/>
      <c r="H309" s="53">
        <v>5131</v>
      </c>
      <c r="I309" s="52" t="s">
        <v>52</v>
      </c>
      <c r="J309" s="53"/>
      <c r="K309" s="52"/>
      <c r="L309" s="53">
        <v>3105</v>
      </c>
      <c r="M309" s="52" t="s">
        <v>52</v>
      </c>
      <c r="N309" s="53"/>
      <c r="O309" s="52"/>
      <c r="P309" s="51">
        <f t="shared" si="8"/>
        <v>1.6524959742351046</v>
      </c>
      <c r="Q309" s="50">
        <f t="shared" si="9"/>
        <v>27.703919484702674</v>
      </c>
      <c r="R309" s="39" t="s">
        <v>54</v>
      </c>
    </row>
    <row r="310" spans="1:18" x14ac:dyDescent="0.35">
      <c r="A310" s="54">
        <v>1030003</v>
      </c>
      <c r="B310" s="54">
        <v>107155</v>
      </c>
      <c r="C310" s="54" t="s">
        <v>565</v>
      </c>
      <c r="D310" s="51">
        <v>85988.510000001348</v>
      </c>
      <c r="E310" s="52">
        <v>4.7920240176429291E-2</v>
      </c>
      <c r="F310" s="51">
        <v>85988.510000001348</v>
      </c>
      <c r="G310" s="52">
        <v>4.7920240176429291E-2</v>
      </c>
      <c r="H310" s="53">
        <v>4325</v>
      </c>
      <c r="I310" s="52">
        <v>-3.8461538461538464E-2</v>
      </c>
      <c r="J310" s="53">
        <v>4325</v>
      </c>
      <c r="K310" s="52">
        <v>-3.8461538461538464E-2</v>
      </c>
      <c r="L310" s="53">
        <v>3178</v>
      </c>
      <c r="M310" s="52">
        <v>1.3716108452950558E-2</v>
      </c>
      <c r="N310" s="53">
        <v>3178</v>
      </c>
      <c r="O310" s="52">
        <v>1.3716108452950558E-2</v>
      </c>
      <c r="P310" s="51">
        <f t="shared" si="8"/>
        <v>1.3609188168659534</v>
      </c>
      <c r="Q310" s="50">
        <f t="shared" si="9"/>
        <v>27.057429200755617</v>
      </c>
      <c r="R310" s="39" t="s">
        <v>51</v>
      </c>
    </row>
    <row r="311" spans="1:18" x14ac:dyDescent="0.35">
      <c r="A311" s="54">
        <v>1250005</v>
      </c>
      <c r="B311" s="54">
        <v>101082</v>
      </c>
      <c r="C311" s="54" t="s">
        <v>564</v>
      </c>
      <c r="D311" s="51">
        <v>85688.800000000891</v>
      </c>
      <c r="E311" s="52">
        <v>2.8177670245642043E-2</v>
      </c>
      <c r="F311" s="51">
        <v>85688.800000000891</v>
      </c>
      <c r="G311" s="52">
        <v>2.8177670245642043E-2</v>
      </c>
      <c r="H311" s="53">
        <v>5884</v>
      </c>
      <c r="I311" s="52">
        <v>-6.6476281135967E-2</v>
      </c>
      <c r="J311" s="53">
        <v>5884</v>
      </c>
      <c r="K311" s="52">
        <v>-6.6476281135967E-2</v>
      </c>
      <c r="L311" s="53">
        <v>3729</v>
      </c>
      <c r="M311" s="52">
        <v>-4.5559252623496291E-2</v>
      </c>
      <c r="N311" s="53">
        <v>3729</v>
      </c>
      <c r="O311" s="52">
        <v>-4.5559252623496291E-2</v>
      </c>
      <c r="P311" s="51">
        <f t="shared" si="8"/>
        <v>1.5779029230356665</v>
      </c>
      <c r="Q311" s="50">
        <f t="shared" si="9"/>
        <v>22.979029230356904</v>
      </c>
      <c r="R311" s="39" t="s">
        <v>54</v>
      </c>
    </row>
    <row r="312" spans="1:18" x14ac:dyDescent="0.35">
      <c r="A312" s="54">
        <v>1250021</v>
      </c>
      <c r="B312" s="54">
        <v>100503</v>
      </c>
      <c r="C312" s="54" t="s">
        <v>563</v>
      </c>
      <c r="D312" s="51">
        <v>85629.420000001963</v>
      </c>
      <c r="E312" s="52">
        <v>0.12660150060180822</v>
      </c>
      <c r="F312" s="51">
        <v>85629.420000001963</v>
      </c>
      <c r="G312" s="52">
        <v>0.12660150060180822</v>
      </c>
      <c r="H312" s="53">
        <v>5723</v>
      </c>
      <c r="I312" s="52">
        <v>3.5069261792039278E-3</v>
      </c>
      <c r="J312" s="53">
        <v>5723</v>
      </c>
      <c r="K312" s="52">
        <v>3.5069261792039278E-3</v>
      </c>
      <c r="L312" s="53">
        <v>3793</v>
      </c>
      <c r="M312" s="52">
        <v>5.2756528620416781E-4</v>
      </c>
      <c r="N312" s="53">
        <v>3793</v>
      </c>
      <c r="O312" s="52">
        <v>5.2756528620416781E-4</v>
      </c>
      <c r="P312" s="51">
        <f t="shared" si="8"/>
        <v>1.5088320590561561</v>
      </c>
      <c r="Q312" s="50">
        <f t="shared" si="9"/>
        <v>22.575644608489839</v>
      </c>
      <c r="R312" s="39" t="s">
        <v>54</v>
      </c>
    </row>
    <row r="313" spans="1:18" x14ac:dyDescent="0.35">
      <c r="A313" s="54">
        <v>1230058</v>
      </c>
      <c r="B313" s="54">
        <v>104776</v>
      </c>
      <c r="C313" s="54" t="s">
        <v>562</v>
      </c>
      <c r="D313" s="51">
        <v>85574.100000001534</v>
      </c>
      <c r="E313" s="52">
        <v>0.92581348612482728</v>
      </c>
      <c r="F313" s="51">
        <v>66062.579999999754</v>
      </c>
      <c r="G313" s="52">
        <v>0.48671394139345359</v>
      </c>
      <c r="H313" s="53">
        <v>5782</v>
      </c>
      <c r="I313" s="52">
        <v>0.83322764743183264</v>
      </c>
      <c r="J313" s="53">
        <v>4433</v>
      </c>
      <c r="K313" s="52">
        <v>0.40551680405833862</v>
      </c>
      <c r="L313" s="53">
        <v>4215</v>
      </c>
      <c r="M313" s="52">
        <v>0.96046511627906972</v>
      </c>
      <c r="N313" s="53">
        <v>3241</v>
      </c>
      <c r="O313" s="52">
        <v>0.5074418604651163</v>
      </c>
      <c r="P313" s="51">
        <f t="shared" si="8"/>
        <v>1.3717674970344009</v>
      </c>
      <c r="Q313" s="50">
        <f t="shared" si="9"/>
        <v>20.302277580071539</v>
      </c>
      <c r="R313" s="39" t="s">
        <v>51</v>
      </c>
    </row>
    <row r="314" spans="1:18" x14ac:dyDescent="0.35">
      <c r="A314" s="54">
        <v>1240181</v>
      </c>
      <c r="B314" s="54">
        <v>100430</v>
      </c>
      <c r="C314" s="54" t="s">
        <v>561</v>
      </c>
      <c r="D314" s="51">
        <v>85506.330000001777</v>
      </c>
      <c r="E314" s="52">
        <v>0.57580062714069347</v>
      </c>
      <c r="F314" s="51">
        <v>85506.330000001777</v>
      </c>
      <c r="G314" s="52">
        <v>0.57580062714069347</v>
      </c>
      <c r="H314" s="53">
        <v>5629</v>
      </c>
      <c r="I314" s="52">
        <v>0.37092060399415488</v>
      </c>
      <c r="J314" s="53">
        <v>5629</v>
      </c>
      <c r="K314" s="52">
        <v>0.37092060399415488</v>
      </c>
      <c r="L314" s="53">
        <v>3648</v>
      </c>
      <c r="M314" s="52">
        <v>0.37039819684447783</v>
      </c>
      <c r="N314" s="53">
        <v>3648</v>
      </c>
      <c r="O314" s="52">
        <v>0.37039819684447783</v>
      </c>
      <c r="P314" s="51">
        <f t="shared" si="8"/>
        <v>1.5430372807017543</v>
      </c>
      <c r="Q314" s="50">
        <f t="shared" si="9"/>
        <v>23.439235197368909</v>
      </c>
      <c r="R314" s="39" t="s">
        <v>54</v>
      </c>
    </row>
    <row r="315" spans="1:18" x14ac:dyDescent="0.35">
      <c r="A315" s="54">
        <v>1210085</v>
      </c>
      <c r="B315" s="54">
        <v>106976</v>
      </c>
      <c r="C315" s="54" t="s">
        <v>560</v>
      </c>
      <c r="D315" s="51">
        <v>85374.360000002343</v>
      </c>
      <c r="E315" s="52">
        <v>1.0924262547483561</v>
      </c>
      <c r="F315" s="51">
        <v>66096.230000000622</v>
      </c>
      <c r="G315" s="52">
        <v>0.61994171308439017</v>
      </c>
      <c r="H315" s="53">
        <v>5447</v>
      </c>
      <c r="I315" s="52">
        <v>0.97069464544138928</v>
      </c>
      <c r="J315" s="53">
        <v>4218</v>
      </c>
      <c r="K315" s="52">
        <v>0.52604920405209843</v>
      </c>
      <c r="L315" s="53">
        <v>4139</v>
      </c>
      <c r="M315" s="52">
        <v>1.0160740379931807</v>
      </c>
      <c r="N315" s="53">
        <v>3172</v>
      </c>
      <c r="O315" s="52">
        <v>0.54505601558694594</v>
      </c>
      <c r="P315" s="51">
        <f t="shared" si="8"/>
        <v>1.3160183619231698</v>
      </c>
      <c r="Q315" s="50">
        <f t="shared" si="9"/>
        <v>20.626808407828545</v>
      </c>
      <c r="R315" s="39" t="s">
        <v>51</v>
      </c>
    </row>
    <row r="316" spans="1:18" x14ac:dyDescent="0.35">
      <c r="A316" s="54">
        <v>1240052</v>
      </c>
      <c r="B316" s="54">
        <v>104636</v>
      </c>
      <c r="C316" s="54" t="s">
        <v>559</v>
      </c>
      <c r="D316" s="51">
        <v>84979.8200000012</v>
      </c>
      <c r="E316" s="52">
        <v>0.3960416598901863</v>
      </c>
      <c r="F316" s="51">
        <v>84979.8200000012</v>
      </c>
      <c r="G316" s="52">
        <v>0.3960416598901863</v>
      </c>
      <c r="H316" s="53">
        <v>5980</v>
      </c>
      <c r="I316" s="52">
        <v>0.24921662836849801</v>
      </c>
      <c r="J316" s="53">
        <v>5980</v>
      </c>
      <c r="K316" s="52">
        <v>0.24921662836849801</v>
      </c>
      <c r="L316" s="53">
        <v>3903</v>
      </c>
      <c r="M316" s="52">
        <v>0.21854511395566656</v>
      </c>
      <c r="N316" s="53">
        <v>3903</v>
      </c>
      <c r="O316" s="52">
        <v>0.21854511395566656</v>
      </c>
      <c r="P316" s="51">
        <f t="shared" si="8"/>
        <v>1.5321547527542916</v>
      </c>
      <c r="Q316" s="50">
        <f t="shared" si="9"/>
        <v>21.772949013579606</v>
      </c>
      <c r="R316" s="39" t="s">
        <v>54</v>
      </c>
    </row>
    <row r="317" spans="1:18" x14ac:dyDescent="0.35">
      <c r="A317" s="54">
        <v>1240250</v>
      </c>
      <c r="B317" s="54">
        <v>104457</v>
      </c>
      <c r="C317" s="54" t="s">
        <v>558</v>
      </c>
      <c r="D317" s="51">
        <v>84907.280000001192</v>
      </c>
      <c r="E317" s="52">
        <v>8.1778775969714737E-2</v>
      </c>
      <c r="F317" s="51">
        <v>84907.280000001192</v>
      </c>
      <c r="G317" s="52">
        <v>8.1778775969714737E-2</v>
      </c>
      <c r="H317" s="53">
        <v>5455</v>
      </c>
      <c r="I317" s="52">
        <v>-6.0939920812532279E-2</v>
      </c>
      <c r="J317" s="53">
        <v>5455</v>
      </c>
      <c r="K317" s="52">
        <v>-6.0939920812532279E-2</v>
      </c>
      <c r="L317" s="53">
        <v>3545</v>
      </c>
      <c r="M317" s="52">
        <v>-3.1156053566548238E-2</v>
      </c>
      <c r="N317" s="53">
        <v>3545</v>
      </c>
      <c r="O317" s="52">
        <v>-3.1156053566548238E-2</v>
      </c>
      <c r="P317" s="51">
        <f t="shared" si="8"/>
        <v>1.5387870239774331</v>
      </c>
      <c r="Q317" s="50">
        <f t="shared" si="9"/>
        <v>23.951277856135739</v>
      </c>
      <c r="R317" s="39" t="s">
        <v>54</v>
      </c>
    </row>
    <row r="318" spans="1:18" x14ac:dyDescent="0.35">
      <c r="A318" s="54">
        <v>1240260</v>
      </c>
      <c r="B318" s="54">
        <v>104701</v>
      </c>
      <c r="C318" s="54" t="s">
        <v>557</v>
      </c>
      <c r="D318" s="51">
        <v>84648.640000001586</v>
      </c>
      <c r="E318" s="52">
        <v>0.15877736278023555</v>
      </c>
      <c r="F318" s="51">
        <v>84648.640000001586</v>
      </c>
      <c r="G318" s="52">
        <v>0.15877736278023555</v>
      </c>
      <c r="H318" s="53">
        <v>5609</v>
      </c>
      <c r="I318" s="52">
        <v>4.6650494495241647E-2</v>
      </c>
      <c r="J318" s="53">
        <v>5609</v>
      </c>
      <c r="K318" s="52">
        <v>4.6650494495241647E-2</v>
      </c>
      <c r="L318" s="53">
        <v>3599</v>
      </c>
      <c r="M318" s="52">
        <v>5.2646972799064051E-2</v>
      </c>
      <c r="N318" s="53">
        <v>3599</v>
      </c>
      <c r="O318" s="52">
        <v>5.2646972799064051E-2</v>
      </c>
      <c r="P318" s="51">
        <f t="shared" si="8"/>
        <v>1.558488469019172</v>
      </c>
      <c r="Q318" s="50">
        <f t="shared" si="9"/>
        <v>23.520044456793993</v>
      </c>
      <c r="R318" s="39" t="s">
        <v>54</v>
      </c>
    </row>
    <row r="319" spans="1:18" x14ac:dyDescent="0.35">
      <c r="A319" s="54">
        <v>1240123</v>
      </c>
      <c r="B319" s="54">
        <v>108314</v>
      </c>
      <c r="C319" s="54" t="s">
        <v>556</v>
      </c>
      <c r="D319" s="51">
        <v>84485.250000000931</v>
      </c>
      <c r="E319" s="52"/>
      <c r="F319" s="51">
        <v>84485.250000000931</v>
      </c>
      <c r="G319" s="52"/>
      <c r="H319" s="53">
        <v>5445</v>
      </c>
      <c r="I319" s="52" t="s">
        <v>52</v>
      </c>
      <c r="J319" s="53">
        <v>5445</v>
      </c>
      <c r="K319" s="52"/>
      <c r="L319" s="53">
        <v>3470</v>
      </c>
      <c r="M319" s="52" t="s">
        <v>52</v>
      </c>
      <c r="N319" s="53">
        <v>3470</v>
      </c>
      <c r="O319" s="52"/>
      <c r="P319" s="51">
        <f t="shared" si="8"/>
        <v>1.5691642651296831</v>
      </c>
      <c r="Q319" s="50">
        <f t="shared" si="9"/>
        <v>24.347334293948396</v>
      </c>
      <c r="R319" s="39" t="s">
        <v>54</v>
      </c>
    </row>
    <row r="320" spans="1:18" x14ac:dyDescent="0.35">
      <c r="A320" s="54">
        <v>1210081</v>
      </c>
      <c r="B320" s="54">
        <v>106948</v>
      </c>
      <c r="C320" s="54" t="s">
        <v>555</v>
      </c>
      <c r="D320" s="51">
        <v>84416.440000002418</v>
      </c>
      <c r="E320" s="52">
        <v>-0.26665203152120626</v>
      </c>
      <c r="F320" s="51">
        <v>84416.440000002418</v>
      </c>
      <c r="G320" s="52">
        <v>-0.26665203152120626</v>
      </c>
      <c r="H320" s="53">
        <v>5219</v>
      </c>
      <c r="I320" s="52">
        <v>-0.30892478813559321</v>
      </c>
      <c r="J320" s="53">
        <v>5219</v>
      </c>
      <c r="K320" s="52">
        <v>-0.30892478813559321</v>
      </c>
      <c r="L320" s="53">
        <v>3835</v>
      </c>
      <c r="M320" s="52">
        <v>-0.27927081375681262</v>
      </c>
      <c r="N320" s="53">
        <v>3835</v>
      </c>
      <c r="O320" s="52">
        <v>-0.27927081375681262</v>
      </c>
      <c r="P320" s="51">
        <f t="shared" si="8"/>
        <v>1.3608865710560625</v>
      </c>
      <c r="Q320" s="50">
        <f t="shared" si="9"/>
        <v>22.012109517601672</v>
      </c>
      <c r="R320" s="39" t="s">
        <v>51</v>
      </c>
    </row>
    <row r="321" spans="1:18" x14ac:dyDescent="0.35">
      <c r="A321" s="54">
        <v>1240165</v>
      </c>
      <c r="B321" s="54">
        <v>100739</v>
      </c>
      <c r="C321" s="54" t="s">
        <v>554</v>
      </c>
      <c r="D321" s="51">
        <v>84218.999999999432</v>
      </c>
      <c r="E321" s="52">
        <v>6.9268117783916408E-2</v>
      </c>
      <c r="F321" s="51">
        <v>84218.999999999432</v>
      </c>
      <c r="G321" s="52">
        <v>6.9268117783916408E-2</v>
      </c>
      <c r="H321" s="53">
        <v>5986.01</v>
      </c>
      <c r="I321" s="52">
        <v>-2.0453280968744849E-2</v>
      </c>
      <c r="J321" s="53">
        <v>5986.01</v>
      </c>
      <c r="K321" s="52">
        <v>-2.0453280968744849E-2</v>
      </c>
      <c r="L321" s="53">
        <v>2681</v>
      </c>
      <c r="M321" s="52">
        <v>-3.9412396990326046E-2</v>
      </c>
      <c r="N321" s="53">
        <v>2681</v>
      </c>
      <c r="O321" s="52">
        <v>-3.9412396990326046E-2</v>
      </c>
      <c r="P321" s="51">
        <f t="shared" si="8"/>
        <v>2.2327527042148452</v>
      </c>
      <c r="Q321" s="50">
        <f t="shared" si="9"/>
        <v>31.413278627377633</v>
      </c>
      <c r="R321" s="39" t="s">
        <v>70</v>
      </c>
    </row>
    <row r="322" spans="1:18" x14ac:dyDescent="0.35">
      <c r="A322" s="54">
        <v>1250030</v>
      </c>
      <c r="B322" s="54">
        <v>104698</v>
      </c>
      <c r="C322" s="54" t="s">
        <v>553</v>
      </c>
      <c r="D322" s="51">
        <v>84001.090000002267</v>
      </c>
      <c r="E322" s="52">
        <v>0.15372657776587986</v>
      </c>
      <c r="F322" s="51">
        <v>84001.090000002267</v>
      </c>
      <c r="G322" s="52">
        <v>0.15372657776587986</v>
      </c>
      <c r="H322" s="53">
        <v>4353</v>
      </c>
      <c r="I322" s="52">
        <v>3.0539772727272728E-2</v>
      </c>
      <c r="J322" s="53">
        <v>4353</v>
      </c>
      <c r="K322" s="52">
        <v>3.0539772727272728E-2</v>
      </c>
      <c r="L322" s="53">
        <v>2870</v>
      </c>
      <c r="M322" s="52">
        <v>5.5923473142016192E-2</v>
      </c>
      <c r="N322" s="53">
        <v>2870</v>
      </c>
      <c r="O322" s="52">
        <v>5.5923473142016192E-2</v>
      </c>
      <c r="P322" s="51">
        <f t="shared" si="8"/>
        <v>1.5167247386759581</v>
      </c>
      <c r="Q322" s="50">
        <f t="shared" si="9"/>
        <v>29.268672473868385</v>
      </c>
      <c r="R322" s="39" t="s">
        <v>54</v>
      </c>
    </row>
    <row r="323" spans="1:18" x14ac:dyDescent="0.35">
      <c r="A323" s="54">
        <v>1240103</v>
      </c>
      <c r="B323" s="54">
        <v>100656</v>
      </c>
      <c r="C323" s="54" t="s">
        <v>552</v>
      </c>
      <c r="D323" s="51">
        <v>83655.940000001749</v>
      </c>
      <c r="E323" s="52">
        <v>-9.2591899595825103E-2</v>
      </c>
      <c r="F323" s="51">
        <v>83655.940000001749</v>
      </c>
      <c r="G323" s="52">
        <v>-9.2591899595825103E-2</v>
      </c>
      <c r="H323" s="53">
        <v>5644</v>
      </c>
      <c r="I323" s="52">
        <v>-0.15407673860911272</v>
      </c>
      <c r="J323" s="53">
        <v>5644</v>
      </c>
      <c r="K323" s="52">
        <v>-0.15407673860911272</v>
      </c>
      <c r="L323" s="53">
        <v>3836</v>
      </c>
      <c r="M323" s="52">
        <v>-0.15226519337016575</v>
      </c>
      <c r="N323" s="53">
        <v>3836</v>
      </c>
      <c r="O323" s="52">
        <v>-0.15226519337016575</v>
      </c>
      <c r="P323" s="51">
        <f t="shared" si="8"/>
        <v>1.4713242961418145</v>
      </c>
      <c r="Q323" s="50">
        <f t="shared" si="9"/>
        <v>21.80811783107449</v>
      </c>
      <c r="R323" s="39" t="s">
        <v>51</v>
      </c>
    </row>
    <row r="324" spans="1:18" x14ac:dyDescent="0.35">
      <c r="A324" s="54">
        <v>1230119</v>
      </c>
      <c r="B324" s="54">
        <v>106934</v>
      </c>
      <c r="C324" s="54" t="s">
        <v>551</v>
      </c>
      <c r="D324" s="51">
        <v>83468.870000002207</v>
      </c>
      <c r="E324" s="52">
        <v>-2.759978741343758E-2</v>
      </c>
      <c r="F324" s="51">
        <v>83468.870000002207</v>
      </c>
      <c r="G324" s="52">
        <v>-2.759978741343758E-2</v>
      </c>
      <c r="H324" s="53">
        <v>4888</v>
      </c>
      <c r="I324" s="52">
        <v>-0.13117667970138641</v>
      </c>
      <c r="J324" s="53">
        <v>4888</v>
      </c>
      <c r="K324" s="52">
        <v>-0.13117667970138641</v>
      </c>
      <c r="L324" s="53">
        <v>3165</v>
      </c>
      <c r="M324" s="52">
        <v>-9.1561423650975887E-2</v>
      </c>
      <c r="N324" s="53">
        <v>3165</v>
      </c>
      <c r="O324" s="52">
        <v>-9.1561423650975887E-2</v>
      </c>
      <c r="P324" s="51">
        <f t="shared" si="8"/>
        <v>1.544391785150079</v>
      </c>
      <c r="Q324" s="50">
        <f t="shared" si="9"/>
        <v>26.372470774092324</v>
      </c>
      <c r="R324" s="39" t="s">
        <v>54</v>
      </c>
    </row>
    <row r="325" spans="1:18" x14ac:dyDescent="0.35">
      <c r="A325" s="54">
        <v>1230098</v>
      </c>
      <c r="B325" s="54">
        <v>105491</v>
      </c>
      <c r="C325" s="54" t="s">
        <v>550</v>
      </c>
      <c r="D325" s="51">
        <v>83208.580000001471</v>
      </c>
      <c r="E325" s="52">
        <v>-9.4409797823885283E-2</v>
      </c>
      <c r="F325" s="51">
        <v>83208.580000001471</v>
      </c>
      <c r="G325" s="52">
        <v>-9.4409797823885283E-2</v>
      </c>
      <c r="H325" s="53">
        <v>5310</v>
      </c>
      <c r="I325" s="52">
        <v>-0.16548797736916548</v>
      </c>
      <c r="J325" s="53">
        <v>5310</v>
      </c>
      <c r="K325" s="52">
        <v>-0.16548797736916548</v>
      </c>
      <c r="L325" s="53">
        <v>3821</v>
      </c>
      <c r="M325" s="52">
        <v>-0.12822267853068675</v>
      </c>
      <c r="N325" s="53">
        <v>3821</v>
      </c>
      <c r="O325" s="52">
        <v>-0.12822267853068675</v>
      </c>
      <c r="P325" s="51">
        <f t="shared" ref="P325:P388" si="10">H325/L325</f>
        <v>1.38968856320335</v>
      </c>
      <c r="Q325" s="50">
        <f t="shared" ref="Q325:Q388" si="11">D325/L325</f>
        <v>21.776650091599443</v>
      </c>
      <c r="R325" s="39" t="s">
        <v>51</v>
      </c>
    </row>
    <row r="326" spans="1:18" x14ac:dyDescent="0.35">
      <c r="A326" s="54">
        <v>1240139</v>
      </c>
      <c r="B326" s="54">
        <v>106855</v>
      </c>
      <c r="C326" s="54" t="s">
        <v>549</v>
      </c>
      <c r="D326" s="51">
        <v>83196.3100000017</v>
      </c>
      <c r="E326" s="52">
        <v>4.4894396932308199E-2</v>
      </c>
      <c r="F326" s="51">
        <v>83196.3100000017</v>
      </c>
      <c r="G326" s="52">
        <v>4.4894396932308199E-2</v>
      </c>
      <c r="H326" s="53">
        <v>5151</v>
      </c>
      <c r="I326" s="52">
        <v>-4.469584569732938E-2</v>
      </c>
      <c r="J326" s="53">
        <v>5151</v>
      </c>
      <c r="K326" s="52">
        <v>-4.469584569732938E-2</v>
      </c>
      <c r="L326" s="53">
        <v>3300</v>
      </c>
      <c r="M326" s="52">
        <v>-6.4360646441735184E-2</v>
      </c>
      <c r="N326" s="53">
        <v>3300</v>
      </c>
      <c r="O326" s="52">
        <v>-6.4360646441735184E-2</v>
      </c>
      <c r="P326" s="51">
        <f t="shared" si="10"/>
        <v>1.5609090909090908</v>
      </c>
      <c r="Q326" s="50">
        <f t="shared" si="11"/>
        <v>25.211003030303544</v>
      </c>
      <c r="R326" s="39" t="s">
        <v>54</v>
      </c>
    </row>
    <row r="327" spans="1:18" x14ac:dyDescent="0.35">
      <c r="A327" s="54">
        <v>1240284</v>
      </c>
      <c r="B327" s="54">
        <v>107113</v>
      </c>
      <c r="C327" s="54" t="s">
        <v>548</v>
      </c>
      <c r="D327" s="51">
        <v>83167.800000000498</v>
      </c>
      <c r="E327" s="52">
        <v>-6.5980345649191488E-2</v>
      </c>
      <c r="F327" s="51">
        <v>83167.800000000498</v>
      </c>
      <c r="G327" s="52">
        <v>-6.5980345649191488E-2</v>
      </c>
      <c r="H327" s="53">
        <v>5530</v>
      </c>
      <c r="I327" s="52">
        <v>-0.13996889580093314</v>
      </c>
      <c r="J327" s="53">
        <v>5530</v>
      </c>
      <c r="K327" s="52">
        <v>-0.13996889580093314</v>
      </c>
      <c r="L327" s="53">
        <v>3195</v>
      </c>
      <c r="M327" s="52">
        <v>-0.12537640295647412</v>
      </c>
      <c r="N327" s="53">
        <v>3195</v>
      </c>
      <c r="O327" s="52">
        <v>-0.12537640295647412</v>
      </c>
      <c r="P327" s="51">
        <f t="shared" si="10"/>
        <v>1.7308294209702659</v>
      </c>
      <c r="Q327" s="50">
        <f t="shared" si="11"/>
        <v>26.030610328638652</v>
      </c>
      <c r="R327" s="39" t="s">
        <v>54</v>
      </c>
    </row>
    <row r="328" spans="1:18" x14ac:dyDescent="0.35">
      <c r="A328" s="54">
        <v>1250012</v>
      </c>
      <c r="B328" s="54">
        <v>100480</v>
      </c>
      <c r="C328" s="54" t="s">
        <v>547</v>
      </c>
      <c r="D328" s="51">
        <v>82655.810000002297</v>
      </c>
      <c r="E328" s="52">
        <v>-0.15621027946412128</v>
      </c>
      <c r="F328" s="51">
        <v>82655.810000002297</v>
      </c>
      <c r="G328" s="52">
        <v>-0.15621027946412128</v>
      </c>
      <c r="H328" s="53">
        <v>4492</v>
      </c>
      <c r="I328" s="52">
        <v>-0.24466117370102572</v>
      </c>
      <c r="J328" s="53">
        <v>4492</v>
      </c>
      <c r="K328" s="52">
        <v>-0.24466117370102572</v>
      </c>
      <c r="L328" s="53">
        <v>3097</v>
      </c>
      <c r="M328" s="52">
        <v>-0.22166373460668509</v>
      </c>
      <c r="N328" s="53">
        <v>3097</v>
      </c>
      <c r="O328" s="52">
        <v>-0.22166373460668509</v>
      </c>
      <c r="P328" s="51">
        <f t="shared" si="10"/>
        <v>1.4504359057152083</v>
      </c>
      <c r="Q328" s="50">
        <f t="shared" si="11"/>
        <v>26.688992573458926</v>
      </c>
      <c r="R328" s="39" t="s">
        <v>51</v>
      </c>
    </row>
    <row r="329" spans="1:18" x14ac:dyDescent="0.35">
      <c r="A329" s="54">
        <v>1210027</v>
      </c>
      <c r="B329" s="54">
        <v>103472</v>
      </c>
      <c r="C329" s="54" t="s">
        <v>546</v>
      </c>
      <c r="D329" s="51">
        <v>82460.930000002321</v>
      </c>
      <c r="E329" s="52">
        <v>5.6404930329455504E-2</v>
      </c>
      <c r="F329" s="51">
        <v>82460.930000002321</v>
      </c>
      <c r="G329" s="52">
        <v>5.6404930329455504E-2</v>
      </c>
      <c r="H329" s="53">
        <v>4785</v>
      </c>
      <c r="I329" s="52">
        <v>2.1999145664246048E-2</v>
      </c>
      <c r="J329" s="53">
        <v>4785</v>
      </c>
      <c r="K329" s="52">
        <v>2.1999145664246048E-2</v>
      </c>
      <c r="L329" s="53">
        <v>3669</v>
      </c>
      <c r="M329" s="52">
        <v>2.8883903533370725E-2</v>
      </c>
      <c r="N329" s="53">
        <v>3669</v>
      </c>
      <c r="O329" s="52">
        <v>2.8883903533370725E-2</v>
      </c>
      <c r="P329" s="51">
        <f t="shared" si="10"/>
        <v>1.3041700735895339</v>
      </c>
      <c r="Q329" s="50">
        <f t="shared" si="11"/>
        <v>22.475042245844186</v>
      </c>
      <c r="R329" s="39" t="s">
        <v>51</v>
      </c>
    </row>
    <row r="330" spans="1:18" x14ac:dyDescent="0.35">
      <c r="A330" s="54">
        <v>1240180</v>
      </c>
      <c r="B330" s="54">
        <v>102258</v>
      </c>
      <c r="C330" s="54" t="s">
        <v>545</v>
      </c>
      <c r="D330" s="51">
        <v>82326.610000001878</v>
      </c>
      <c r="E330" s="52">
        <v>0.24020169435432742</v>
      </c>
      <c r="F330" s="51">
        <v>82326.610000001878</v>
      </c>
      <c r="G330" s="52">
        <v>0.24020169435432742</v>
      </c>
      <c r="H330" s="53">
        <v>4873</v>
      </c>
      <c r="I330" s="52">
        <v>9.6534653465346537E-2</v>
      </c>
      <c r="J330" s="53">
        <v>4873</v>
      </c>
      <c r="K330" s="52">
        <v>9.6534653465346537E-2</v>
      </c>
      <c r="L330" s="53">
        <v>3206</v>
      </c>
      <c r="M330" s="52">
        <v>9.9451303155006859E-2</v>
      </c>
      <c r="N330" s="53">
        <v>3206</v>
      </c>
      <c r="O330" s="52">
        <v>9.9451303155006859E-2</v>
      </c>
      <c r="P330" s="51">
        <f t="shared" si="10"/>
        <v>1.5199625701809107</v>
      </c>
      <c r="Q330" s="50">
        <f t="shared" si="11"/>
        <v>25.678917654398589</v>
      </c>
      <c r="R330" s="39" t="s">
        <v>54</v>
      </c>
    </row>
    <row r="331" spans="1:18" x14ac:dyDescent="0.35">
      <c r="A331" s="54">
        <v>1240242</v>
      </c>
      <c r="B331" s="54">
        <v>101097</v>
      </c>
      <c r="C331" s="54" t="s">
        <v>544</v>
      </c>
      <c r="D331" s="51">
        <v>82307.280000001891</v>
      </c>
      <c r="E331" s="52">
        <v>3.4510635538077296E-2</v>
      </c>
      <c r="F331" s="51">
        <v>82307.280000001891</v>
      </c>
      <c r="G331" s="52">
        <v>3.4510635538077296E-2</v>
      </c>
      <c r="H331" s="53">
        <v>4975.9998999999989</v>
      </c>
      <c r="I331" s="52">
        <v>-6.8862294161676857E-2</v>
      </c>
      <c r="J331" s="53">
        <v>4975.9998999999989</v>
      </c>
      <c r="K331" s="52">
        <v>-6.8862294161676857E-2</v>
      </c>
      <c r="L331" s="53">
        <v>3452</v>
      </c>
      <c r="M331" s="52">
        <v>-4.2971998891045193E-2</v>
      </c>
      <c r="N331" s="53">
        <v>3452</v>
      </c>
      <c r="O331" s="52">
        <v>-4.2971998891045193E-2</v>
      </c>
      <c r="P331" s="51">
        <f t="shared" si="10"/>
        <v>1.4414831691772882</v>
      </c>
      <c r="Q331" s="50">
        <f t="shared" si="11"/>
        <v>23.843360370800085</v>
      </c>
      <c r="R331" s="39" t="s">
        <v>51</v>
      </c>
    </row>
    <row r="332" spans="1:18" x14ac:dyDescent="0.35">
      <c r="A332" s="54">
        <v>1240202</v>
      </c>
      <c r="B332" s="54">
        <v>108257</v>
      </c>
      <c r="C332" s="54" t="s">
        <v>543</v>
      </c>
      <c r="D332" s="51">
        <v>81674.3700000018</v>
      </c>
      <c r="E332" s="52"/>
      <c r="F332" s="51">
        <v>81674.3700000018</v>
      </c>
      <c r="G332" s="52"/>
      <c r="H332" s="53">
        <v>5101</v>
      </c>
      <c r="I332" s="52" t="s">
        <v>52</v>
      </c>
      <c r="J332" s="53">
        <v>5101</v>
      </c>
      <c r="K332" s="52"/>
      <c r="L332" s="53">
        <v>3594</v>
      </c>
      <c r="M332" s="52" t="s">
        <v>52</v>
      </c>
      <c r="N332" s="53">
        <v>3594</v>
      </c>
      <c r="O332" s="52"/>
      <c r="P332" s="51">
        <f t="shared" si="10"/>
        <v>1.4193099610461881</v>
      </c>
      <c r="Q332" s="50">
        <f t="shared" si="11"/>
        <v>22.725200333890317</v>
      </c>
      <c r="R332" s="39" t="s">
        <v>51</v>
      </c>
    </row>
    <row r="333" spans="1:18" x14ac:dyDescent="0.35">
      <c r="A333" s="54">
        <v>1210014</v>
      </c>
      <c r="B333" s="54">
        <v>100760</v>
      </c>
      <c r="C333" s="54" t="s">
        <v>542</v>
      </c>
      <c r="D333" s="51">
        <v>81637.290000001056</v>
      </c>
      <c r="E333" s="52">
        <v>-8.5401483522820742E-3</v>
      </c>
      <c r="F333" s="51">
        <v>81637.290000001056</v>
      </c>
      <c r="G333" s="52">
        <v>-8.5401483522820742E-3</v>
      </c>
      <c r="H333" s="53">
        <v>5165</v>
      </c>
      <c r="I333" s="52">
        <v>-0.10779063741578856</v>
      </c>
      <c r="J333" s="53">
        <v>5165</v>
      </c>
      <c r="K333" s="52">
        <v>-0.10779063741578856</v>
      </c>
      <c r="L333" s="53">
        <v>3673</v>
      </c>
      <c r="M333" s="52">
        <v>-5.9892500639877146E-2</v>
      </c>
      <c r="N333" s="53">
        <v>3673</v>
      </c>
      <c r="O333" s="52">
        <v>-5.9892500639877146E-2</v>
      </c>
      <c r="P333" s="51">
        <f t="shared" si="10"/>
        <v>1.4062074598420908</v>
      </c>
      <c r="Q333" s="50">
        <f t="shared" si="11"/>
        <v>22.226324530356944</v>
      </c>
      <c r="R333" s="39" t="s">
        <v>51</v>
      </c>
    </row>
    <row r="334" spans="1:18" x14ac:dyDescent="0.35">
      <c r="A334" s="54">
        <v>1240199</v>
      </c>
      <c r="B334" s="54">
        <v>105527</v>
      </c>
      <c r="C334" s="54" t="s">
        <v>541</v>
      </c>
      <c r="D334" s="51">
        <v>81591.450000001467</v>
      </c>
      <c r="E334" s="52">
        <v>-0.36037919377696004</v>
      </c>
      <c r="F334" s="51">
        <v>81591.450000001467</v>
      </c>
      <c r="G334" s="52">
        <v>-0.36037919377696004</v>
      </c>
      <c r="H334" s="53">
        <v>5439</v>
      </c>
      <c r="I334" s="52">
        <v>-0.4380037197768134</v>
      </c>
      <c r="J334" s="53">
        <v>5439</v>
      </c>
      <c r="K334" s="52">
        <v>-0.4380037197768134</v>
      </c>
      <c r="L334" s="53">
        <v>3619</v>
      </c>
      <c r="M334" s="52">
        <v>-0.43346900438321856</v>
      </c>
      <c r="N334" s="53">
        <v>3619</v>
      </c>
      <c r="O334" s="52">
        <v>-0.43346900438321856</v>
      </c>
      <c r="P334" s="51">
        <f t="shared" si="10"/>
        <v>1.5029013539651837</v>
      </c>
      <c r="Q334" s="50">
        <f t="shared" si="11"/>
        <v>22.54530256977106</v>
      </c>
      <c r="R334" s="39" t="s">
        <v>54</v>
      </c>
    </row>
    <row r="335" spans="1:18" x14ac:dyDescent="0.35">
      <c r="A335" s="54">
        <v>1240125</v>
      </c>
      <c r="B335" s="54">
        <v>104428</v>
      </c>
      <c r="C335" s="54" t="s">
        <v>540</v>
      </c>
      <c r="D335" s="51">
        <v>81500.370000001014</v>
      </c>
      <c r="E335" s="52">
        <v>4.8475228051982094E-2</v>
      </c>
      <c r="F335" s="51">
        <v>81500.370000001014</v>
      </c>
      <c r="G335" s="52">
        <v>4.8475228051982094E-2</v>
      </c>
      <c r="H335" s="53">
        <v>5228</v>
      </c>
      <c r="I335" s="52">
        <v>-4.6681254558716266E-2</v>
      </c>
      <c r="J335" s="53">
        <v>5228</v>
      </c>
      <c r="K335" s="52">
        <v>-4.6681254558716266E-2</v>
      </c>
      <c r="L335" s="53">
        <v>3340</v>
      </c>
      <c r="M335" s="52">
        <v>-4.2431192660550461E-2</v>
      </c>
      <c r="N335" s="53">
        <v>3340</v>
      </c>
      <c r="O335" s="52">
        <v>-4.2431192660550461E-2</v>
      </c>
      <c r="P335" s="51">
        <f t="shared" si="10"/>
        <v>1.5652694610778444</v>
      </c>
      <c r="Q335" s="50">
        <f t="shared" si="11"/>
        <v>24.401308383233836</v>
      </c>
      <c r="R335" s="39" t="s">
        <v>54</v>
      </c>
    </row>
    <row r="336" spans="1:18" x14ac:dyDescent="0.35">
      <c r="A336" s="54">
        <v>1110002</v>
      </c>
      <c r="B336" s="54">
        <v>100334</v>
      </c>
      <c r="C336" s="54" t="s">
        <v>539</v>
      </c>
      <c r="D336" s="51">
        <v>81119.880000001081</v>
      </c>
      <c r="E336" s="52">
        <v>-6.484122912690217E-2</v>
      </c>
      <c r="F336" s="51">
        <v>81119.880000001081</v>
      </c>
      <c r="G336" s="52">
        <v>-6.484122912690217E-2</v>
      </c>
      <c r="H336" s="53">
        <v>5295</v>
      </c>
      <c r="I336" s="52">
        <v>-0.16297818526715144</v>
      </c>
      <c r="J336" s="53">
        <v>5295</v>
      </c>
      <c r="K336" s="52">
        <v>-0.16297818526715144</v>
      </c>
      <c r="L336" s="53">
        <v>3354</v>
      </c>
      <c r="M336" s="52">
        <v>3.3590138674884439E-2</v>
      </c>
      <c r="N336" s="53">
        <v>3354</v>
      </c>
      <c r="O336" s="52">
        <v>3.3590138674884439E-2</v>
      </c>
      <c r="P336" s="51">
        <f t="shared" si="10"/>
        <v>1.5787119856887299</v>
      </c>
      <c r="Q336" s="50">
        <f t="shared" si="11"/>
        <v>24.186010733452918</v>
      </c>
      <c r="R336" s="39" t="s">
        <v>54</v>
      </c>
    </row>
    <row r="337" spans="1:18" x14ac:dyDescent="0.35">
      <c r="A337" s="54">
        <v>1240083</v>
      </c>
      <c r="B337" s="54">
        <v>100912</v>
      </c>
      <c r="C337" s="54" t="s">
        <v>538</v>
      </c>
      <c r="D337" s="51">
        <v>81076.3900000008</v>
      </c>
      <c r="E337" s="52">
        <v>6.3714452112164463E-2</v>
      </c>
      <c r="F337" s="51">
        <v>81076.3900000008</v>
      </c>
      <c r="G337" s="52">
        <v>6.3714452112164463E-2</v>
      </c>
      <c r="H337" s="53">
        <v>5428</v>
      </c>
      <c r="I337" s="52">
        <v>-3.1578947368421054E-2</v>
      </c>
      <c r="J337" s="53">
        <v>5428</v>
      </c>
      <c r="K337" s="52">
        <v>-3.1578947368421054E-2</v>
      </c>
      <c r="L337" s="53">
        <v>3694</v>
      </c>
      <c r="M337" s="52">
        <v>-1.7291832934291033E-2</v>
      </c>
      <c r="N337" s="53">
        <v>3694</v>
      </c>
      <c r="O337" s="52">
        <v>-1.7291832934291033E-2</v>
      </c>
      <c r="P337" s="51">
        <f t="shared" si="10"/>
        <v>1.4694098538170006</v>
      </c>
      <c r="Q337" s="50">
        <f t="shared" si="11"/>
        <v>21.948129399025664</v>
      </c>
      <c r="R337" s="39" t="s">
        <v>51</v>
      </c>
    </row>
    <row r="338" spans="1:18" x14ac:dyDescent="0.35">
      <c r="A338" s="54">
        <v>1240287</v>
      </c>
      <c r="B338" s="54">
        <v>104918</v>
      </c>
      <c r="C338" s="54" t="s">
        <v>537</v>
      </c>
      <c r="D338" s="51">
        <v>80814.280000000814</v>
      </c>
      <c r="E338" s="52">
        <v>3.8225675078707854E-4</v>
      </c>
      <c r="F338" s="51">
        <v>80814.280000000814</v>
      </c>
      <c r="G338" s="52">
        <v>3.8225675078707854E-4</v>
      </c>
      <c r="H338" s="53">
        <v>5791</v>
      </c>
      <c r="I338" s="52">
        <v>-0.10244885306881588</v>
      </c>
      <c r="J338" s="53">
        <v>5791</v>
      </c>
      <c r="K338" s="52">
        <v>-0.10244885306881588</v>
      </c>
      <c r="L338" s="53">
        <v>3745</v>
      </c>
      <c r="M338" s="52">
        <v>-8.0756013745704472E-2</v>
      </c>
      <c r="N338" s="53">
        <v>3745</v>
      </c>
      <c r="O338" s="52">
        <v>-8.0756013745704472E-2</v>
      </c>
      <c r="P338" s="51">
        <f t="shared" si="10"/>
        <v>1.5463284379172229</v>
      </c>
      <c r="Q338" s="50">
        <f t="shared" si="11"/>
        <v>21.579246995994875</v>
      </c>
      <c r="R338" s="39" t="s">
        <v>54</v>
      </c>
    </row>
    <row r="339" spans="1:18" x14ac:dyDescent="0.35">
      <c r="A339" s="54">
        <v>1190019</v>
      </c>
      <c r="B339" s="54">
        <v>105558</v>
      </c>
      <c r="C339" s="54" t="s">
        <v>536</v>
      </c>
      <c r="D339" s="51">
        <v>80707.510000001595</v>
      </c>
      <c r="E339" s="52">
        <v>0.17097485830276327</v>
      </c>
      <c r="F339" s="51">
        <v>80707.510000001595</v>
      </c>
      <c r="G339" s="52">
        <v>0.17097485830276327</v>
      </c>
      <c r="H339" s="53">
        <v>5098</v>
      </c>
      <c r="I339" s="52">
        <v>7.3941436696861179E-2</v>
      </c>
      <c r="J339" s="53">
        <v>5098</v>
      </c>
      <c r="K339" s="52">
        <v>7.3941436696861179E-2</v>
      </c>
      <c r="L339" s="53">
        <v>3581</v>
      </c>
      <c r="M339" s="52">
        <v>3.3477633477633481E-2</v>
      </c>
      <c r="N339" s="53">
        <v>3581</v>
      </c>
      <c r="O339" s="52">
        <v>3.3477633477633481E-2</v>
      </c>
      <c r="P339" s="51">
        <f t="shared" si="10"/>
        <v>1.4236246858419437</v>
      </c>
      <c r="Q339" s="50">
        <f t="shared" si="11"/>
        <v>22.537701759285561</v>
      </c>
      <c r="R339" s="39" t="s">
        <v>51</v>
      </c>
    </row>
    <row r="340" spans="1:18" x14ac:dyDescent="0.35">
      <c r="A340" s="54">
        <v>1240261</v>
      </c>
      <c r="B340" s="54">
        <v>104713</v>
      </c>
      <c r="C340" s="54" t="s">
        <v>535</v>
      </c>
      <c r="D340" s="51">
        <v>80702.890000001498</v>
      </c>
      <c r="E340" s="52">
        <v>0.204895882509119</v>
      </c>
      <c r="F340" s="51">
        <v>80702.890000001498</v>
      </c>
      <c r="G340" s="52">
        <v>0.204895882509119</v>
      </c>
      <c r="H340" s="53">
        <v>5056</v>
      </c>
      <c r="I340" s="52">
        <v>7.5744680851063825E-2</v>
      </c>
      <c r="J340" s="53">
        <v>5056</v>
      </c>
      <c r="K340" s="52">
        <v>7.5744680851063825E-2</v>
      </c>
      <c r="L340" s="53">
        <v>3290</v>
      </c>
      <c r="M340" s="52">
        <v>8.724388631857237E-2</v>
      </c>
      <c r="N340" s="53">
        <v>3290</v>
      </c>
      <c r="O340" s="52">
        <v>8.724388631857237E-2</v>
      </c>
      <c r="P340" s="51">
        <f t="shared" si="10"/>
        <v>1.5367781155015197</v>
      </c>
      <c r="Q340" s="50">
        <f t="shared" si="11"/>
        <v>24.529753799392552</v>
      </c>
      <c r="R340" s="39" t="s">
        <v>54</v>
      </c>
    </row>
    <row r="341" spans="1:18" x14ac:dyDescent="0.35">
      <c r="A341" s="54">
        <v>1120004</v>
      </c>
      <c r="B341" s="54">
        <v>105268</v>
      </c>
      <c r="C341" s="54" t="s">
        <v>534</v>
      </c>
      <c r="D341" s="51">
        <v>80143.820000001899</v>
      </c>
      <c r="E341" s="52">
        <v>0.22044803262010362</v>
      </c>
      <c r="F341" s="51">
        <v>80143.820000001899</v>
      </c>
      <c r="G341" s="52">
        <v>0.22044803262010362</v>
      </c>
      <c r="H341" s="53">
        <v>4777</v>
      </c>
      <c r="I341" s="52">
        <v>0.13387135058153335</v>
      </c>
      <c r="J341" s="53">
        <v>4777</v>
      </c>
      <c r="K341" s="52">
        <v>0.13387135058153335</v>
      </c>
      <c r="L341" s="53">
        <v>3310</v>
      </c>
      <c r="M341" s="52">
        <v>0.12089400609549611</v>
      </c>
      <c r="N341" s="53">
        <v>3310</v>
      </c>
      <c r="O341" s="52">
        <v>0.12089400609549611</v>
      </c>
      <c r="P341" s="51">
        <f t="shared" si="10"/>
        <v>1.443202416918429</v>
      </c>
      <c r="Q341" s="50">
        <f t="shared" si="11"/>
        <v>24.212634441088188</v>
      </c>
      <c r="R341" s="39" t="s">
        <v>51</v>
      </c>
    </row>
    <row r="342" spans="1:18" x14ac:dyDescent="0.35">
      <c r="A342" s="54">
        <v>1230068</v>
      </c>
      <c r="B342" s="54">
        <v>106739</v>
      </c>
      <c r="C342" s="54" t="s">
        <v>533</v>
      </c>
      <c r="D342" s="51">
        <v>80088.230000001306</v>
      </c>
      <c r="E342" s="52">
        <v>-2.3033859524256278E-3</v>
      </c>
      <c r="F342" s="51">
        <v>80088.230000001306</v>
      </c>
      <c r="G342" s="52">
        <v>-2.3033859524256278E-3</v>
      </c>
      <c r="H342" s="53">
        <v>4695</v>
      </c>
      <c r="I342" s="52">
        <v>-9.7635979242744572E-2</v>
      </c>
      <c r="J342" s="53">
        <v>4695</v>
      </c>
      <c r="K342" s="52">
        <v>-9.7635979242744572E-2</v>
      </c>
      <c r="L342" s="53">
        <v>3146</v>
      </c>
      <c r="M342" s="52">
        <v>-7.4161271336080054E-2</v>
      </c>
      <c r="N342" s="53">
        <v>3146</v>
      </c>
      <c r="O342" s="52">
        <v>-7.4161271336080054E-2</v>
      </c>
      <c r="P342" s="51">
        <f t="shared" si="10"/>
        <v>1.4923712650985379</v>
      </c>
      <c r="Q342" s="50">
        <f t="shared" si="11"/>
        <v>25.457161474889162</v>
      </c>
      <c r="R342" s="39" t="s">
        <v>51</v>
      </c>
    </row>
    <row r="343" spans="1:18" x14ac:dyDescent="0.35">
      <c r="A343" s="54">
        <v>1200031</v>
      </c>
      <c r="B343" s="54">
        <v>107957</v>
      </c>
      <c r="C343" s="54" t="s">
        <v>532</v>
      </c>
      <c r="D343" s="51">
        <v>80049.620000000621</v>
      </c>
      <c r="E343" s="52"/>
      <c r="F343" s="51"/>
      <c r="G343" s="52"/>
      <c r="H343" s="53">
        <v>4193</v>
      </c>
      <c r="I343" s="52" t="s">
        <v>52</v>
      </c>
      <c r="J343" s="53"/>
      <c r="K343" s="52"/>
      <c r="L343" s="53">
        <v>2824</v>
      </c>
      <c r="M343" s="52" t="s">
        <v>52</v>
      </c>
      <c r="N343" s="53"/>
      <c r="O343" s="52"/>
      <c r="P343" s="51">
        <f t="shared" si="10"/>
        <v>1.4847733711048159</v>
      </c>
      <c r="Q343" s="50">
        <f t="shared" si="11"/>
        <v>28.346182719546963</v>
      </c>
      <c r="R343" s="39" t="s">
        <v>51</v>
      </c>
    </row>
    <row r="344" spans="1:18" x14ac:dyDescent="0.35">
      <c r="A344" s="54">
        <v>1240105</v>
      </c>
      <c r="B344" s="54">
        <v>107721</v>
      </c>
      <c r="C344" s="54" t="s">
        <v>531</v>
      </c>
      <c r="D344" s="51">
        <v>79510.230000001568</v>
      </c>
      <c r="E344" s="52"/>
      <c r="F344" s="51">
        <v>79510.230000001568</v>
      </c>
      <c r="G344" s="52"/>
      <c r="H344" s="53">
        <v>5148.2</v>
      </c>
      <c r="I344" s="52" t="s">
        <v>52</v>
      </c>
      <c r="J344" s="53">
        <v>5148.2</v>
      </c>
      <c r="K344" s="52"/>
      <c r="L344" s="53">
        <v>3217</v>
      </c>
      <c r="M344" s="52" t="s">
        <v>52</v>
      </c>
      <c r="N344" s="53">
        <v>3217</v>
      </c>
      <c r="O344" s="52"/>
      <c r="P344" s="51">
        <f t="shared" si="10"/>
        <v>1.6003108486167237</v>
      </c>
      <c r="Q344" s="50">
        <f t="shared" si="11"/>
        <v>24.715645010880188</v>
      </c>
      <c r="R344" s="39" t="s">
        <v>54</v>
      </c>
    </row>
    <row r="345" spans="1:18" x14ac:dyDescent="0.35">
      <c r="A345" s="54">
        <v>1240283</v>
      </c>
      <c r="B345" s="54">
        <v>105005</v>
      </c>
      <c r="C345" s="54" t="s">
        <v>530</v>
      </c>
      <c r="D345" s="51">
        <v>79343.819999999774</v>
      </c>
      <c r="E345" s="52">
        <v>0.21393736176713787</v>
      </c>
      <c r="F345" s="51">
        <v>79343.819999999774</v>
      </c>
      <c r="G345" s="52">
        <v>0.21393736176713787</v>
      </c>
      <c r="H345" s="53">
        <v>5479</v>
      </c>
      <c r="I345" s="52">
        <v>0.12551355792933444</v>
      </c>
      <c r="J345" s="53">
        <v>5479</v>
      </c>
      <c r="K345" s="52">
        <v>0.12551355792933444</v>
      </c>
      <c r="L345" s="53">
        <v>3292</v>
      </c>
      <c r="M345" s="52">
        <v>4.7073791348600506E-2</v>
      </c>
      <c r="N345" s="53">
        <v>3292</v>
      </c>
      <c r="O345" s="52">
        <v>4.7073791348600506E-2</v>
      </c>
      <c r="P345" s="51">
        <f t="shared" si="10"/>
        <v>1.6643377885783719</v>
      </c>
      <c r="Q345" s="50">
        <f t="shared" si="11"/>
        <v>24.102010935601388</v>
      </c>
      <c r="R345" s="39" t="s">
        <v>54</v>
      </c>
    </row>
    <row r="346" spans="1:18" x14ac:dyDescent="0.35">
      <c r="A346" s="54">
        <v>1240327</v>
      </c>
      <c r="B346" s="54">
        <v>105691</v>
      </c>
      <c r="C346" s="54" t="s">
        <v>529</v>
      </c>
      <c r="D346" s="51">
        <v>78949.260000001785</v>
      </c>
      <c r="E346" s="52">
        <v>0.13473718191310569</v>
      </c>
      <c r="F346" s="51">
        <v>78949.260000001785</v>
      </c>
      <c r="G346" s="52">
        <v>0.13473718191310569</v>
      </c>
      <c r="H346" s="53">
        <v>4909</v>
      </c>
      <c r="I346" s="52">
        <v>5.6380460512158379E-2</v>
      </c>
      <c r="J346" s="53">
        <v>4909</v>
      </c>
      <c r="K346" s="52">
        <v>5.6380460512158379E-2</v>
      </c>
      <c r="L346" s="53">
        <v>3570</v>
      </c>
      <c r="M346" s="52">
        <v>2.9411764705882353E-2</v>
      </c>
      <c r="N346" s="53">
        <v>3570</v>
      </c>
      <c r="O346" s="52">
        <v>2.9411764705882353E-2</v>
      </c>
      <c r="P346" s="51">
        <f t="shared" si="10"/>
        <v>1.3750700280112045</v>
      </c>
      <c r="Q346" s="50">
        <f t="shared" si="11"/>
        <v>22.114638655462684</v>
      </c>
      <c r="R346" s="39" t="s">
        <v>51</v>
      </c>
    </row>
    <row r="347" spans="1:18" x14ac:dyDescent="0.35">
      <c r="A347" s="54">
        <v>1240389</v>
      </c>
      <c r="B347" s="54">
        <v>106936</v>
      </c>
      <c r="C347" s="54" t="s">
        <v>528</v>
      </c>
      <c r="D347" s="51">
        <v>78600.440000001079</v>
      </c>
      <c r="E347" s="52">
        <v>0.13210610453833643</v>
      </c>
      <c r="F347" s="51">
        <v>78600.440000001079</v>
      </c>
      <c r="G347" s="52">
        <v>0.13210610453833643</v>
      </c>
      <c r="H347" s="53">
        <v>5225</v>
      </c>
      <c r="I347" s="52">
        <v>4.3330670926517573E-2</v>
      </c>
      <c r="J347" s="53">
        <v>5225</v>
      </c>
      <c r="K347" s="52">
        <v>4.3330670926517573E-2</v>
      </c>
      <c r="L347" s="53">
        <v>3414</v>
      </c>
      <c r="M347" s="52">
        <v>0.13572854291417166</v>
      </c>
      <c r="N347" s="53">
        <v>3414</v>
      </c>
      <c r="O347" s="52">
        <v>0.13572854291417166</v>
      </c>
      <c r="P347" s="51">
        <f t="shared" si="10"/>
        <v>1.5304628002343292</v>
      </c>
      <c r="Q347" s="50">
        <f t="shared" si="11"/>
        <v>23.022975981253978</v>
      </c>
      <c r="R347" s="39" t="s">
        <v>54</v>
      </c>
    </row>
    <row r="348" spans="1:18" x14ac:dyDescent="0.35">
      <c r="A348" s="54">
        <v>1240247</v>
      </c>
      <c r="B348" s="54">
        <v>104389</v>
      </c>
      <c r="C348" s="54" t="s">
        <v>527</v>
      </c>
      <c r="D348" s="51">
        <v>78590.78000000093</v>
      </c>
      <c r="E348" s="52">
        <v>0.24794275685113365</v>
      </c>
      <c r="F348" s="51">
        <v>78590.78000000093</v>
      </c>
      <c r="G348" s="52">
        <v>0.24794275685113365</v>
      </c>
      <c r="H348" s="53">
        <v>5064</v>
      </c>
      <c r="I348" s="52">
        <v>0.16811219782247652</v>
      </c>
      <c r="J348" s="53">
        <v>5064</v>
      </c>
      <c r="K348" s="52">
        <v>0.16811219782247652</v>
      </c>
      <c r="L348" s="53">
        <v>3228</v>
      </c>
      <c r="M348" s="52">
        <v>0.15906642728904846</v>
      </c>
      <c r="N348" s="53">
        <v>3228</v>
      </c>
      <c r="O348" s="52">
        <v>0.15906642728904846</v>
      </c>
      <c r="P348" s="51">
        <f t="shared" si="10"/>
        <v>1.5687732342007434</v>
      </c>
      <c r="Q348" s="50">
        <f t="shared" si="11"/>
        <v>24.34658612143771</v>
      </c>
      <c r="R348" s="39" t="s">
        <v>54</v>
      </c>
    </row>
    <row r="349" spans="1:18" x14ac:dyDescent="0.35">
      <c r="A349" s="54">
        <v>1240130</v>
      </c>
      <c r="B349" s="54">
        <v>100794</v>
      </c>
      <c r="C349" s="54" t="s">
        <v>526</v>
      </c>
      <c r="D349" s="51">
        <v>78589.230000000971</v>
      </c>
      <c r="E349" s="52">
        <v>-1.2437453654533444E-2</v>
      </c>
      <c r="F349" s="51">
        <v>78589.230000000971</v>
      </c>
      <c r="G349" s="52">
        <v>-1.2437453654533444E-2</v>
      </c>
      <c r="H349" s="53">
        <v>5352</v>
      </c>
      <c r="I349" s="52">
        <v>-0.11478663579225934</v>
      </c>
      <c r="J349" s="53">
        <v>5352</v>
      </c>
      <c r="K349" s="52">
        <v>-0.11478663579225934</v>
      </c>
      <c r="L349" s="53">
        <v>3663</v>
      </c>
      <c r="M349" s="52">
        <v>-9.3316831683168316E-2</v>
      </c>
      <c r="N349" s="53">
        <v>3663</v>
      </c>
      <c r="O349" s="52">
        <v>-9.3316831683168316E-2</v>
      </c>
      <c r="P349" s="51">
        <f t="shared" si="10"/>
        <v>1.4610974610974612</v>
      </c>
      <c r="Q349" s="50">
        <f t="shared" si="11"/>
        <v>21.454881244881509</v>
      </c>
      <c r="R349" s="39" t="s">
        <v>51</v>
      </c>
    </row>
    <row r="350" spans="1:18" x14ac:dyDescent="0.35">
      <c r="A350" s="54">
        <v>1250024</v>
      </c>
      <c r="B350" s="54">
        <v>104331</v>
      </c>
      <c r="C350" s="54" t="s">
        <v>525</v>
      </c>
      <c r="D350" s="51">
        <v>77846.320000001433</v>
      </c>
      <c r="E350" s="52">
        <v>6.5951489177939651E-2</v>
      </c>
      <c r="F350" s="51">
        <v>77846.320000001433</v>
      </c>
      <c r="G350" s="52">
        <v>6.5951489177939651E-2</v>
      </c>
      <c r="H350" s="53">
        <v>4896</v>
      </c>
      <c r="I350" s="52">
        <v>-2.6640159045725646E-2</v>
      </c>
      <c r="J350" s="53">
        <v>4896</v>
      </c>
      <c r="K350" s="52">
        <v>-2.6640159045725646E-2</v>
      </c>
      <c r="L350" s="53">
        <v>3421</v>
      </c>
      <c r="M350" s="52">
        <v>1.21301775147929E-2</v>
      </c>
      <c r="N350" s="53">
        <v>3421</v>
      </c>
      <c r="O350" s="52">
        <v>1.21301775147929E-2</v>
      </c>
      <c r="P350" s="51">
        <f t="shared" si="10"/>
        <v>1.4311604793919905</v>
      </c>
      <c r="Q350" s="50">
        <f t="shared" si="11"/>
        <v>22.755428237357918</v>
      </c>
      <c r="R350" s="39" t="s">
        <v>51</v>
      </c>
    </row>
    <row r="351" spans="1:18" x14ac:dyDescent="0.35">
      <c r="A351" s="54">
        <v>1240135</v>
      </c>
      <c r="B351" s="54">
        <v>104298</v>
      </c>
      <c r="C351" s="54" t="s">
        <v>524</v>
      </c>
      <c r="D351" s="51">
        <v>77787.7400000013</v>
      </c>
      <c r="E351" s="52">
        <v>0.23687446305546159</v>
      </c>
      <c r="F351" s="51">
        <v>77787.7400000013</v>
      </c>
      <c r="G351" s="52">
        <v>0.23687446305546159</v>
      </c>
      <c r="H351" s="53">
        <v>4864</v>
      </c>
      <c r="I351" s="52">
        <v>0.10595725329695316</v>
      </c>
      <c r="J351" s="53">
        <v>4864</v>
      </c>
      <c r="K351" s="52">
        <v>0.10595725329695316</v>
      </c>
      <c r="L351" s="53">
        <v>3077</v>
      </c>
      <c r="M351" s="52">
        <v>8.7663485330505483E-2</v>
      </c>
      <c r="N351" s="53">
        <v>3077</v>
      </c>
      <c r="O351" s="52">
        <v>8.7663485330505483E-2</v>
      </c>
      <c r="P351" s="51">
        <f t="shared" si="10"/>
        <v>1.5807604809879754</v>
      </c>
      <c r="Q351" s="50">
        <f t="shared" si="11"/>
        <v>25.280383490413161</v>
      </c>
      <c r="R351" s="39" t="s">
        <v>54</v>
      </c>
    </row>
    <row r="352" spans="1:18" x14ac:dyDescent="0.35">
      <c r="A352" s="54">
        <v>1250027</v>
      </c>
      <c r="B352" s="54">
        <v>104478</v>
      </c>
      <c r="C352" s="54" t="s">
        <v>523</v>
      </c>
      <c r="D352" s="51">
        <v>77365.930000001681</v>
      </c>
      <c r="E352" s="52">
        <v>0.1848213294373513</v>
      </c>
      <c r="F352" s="51">
        <v>77365.930000001681</v>
      </c>
      <c r="G352" s="52">
        <v>0.1848213294373513</v>
      </c>
      <c r="H352" s="53">
        <v>4827</v>
      </c>
      <c r="I352" s="52">
        <v>9.6297978650919824E-2</v>
      </c>
      <c r="J352" s="53">
        <v>4827</v>
      </c>
      <c r="K352" s="52">
        <v>9.6297978650919824E-2</v>
      </c>
      <c r="L352" s="53">
        <v>3498</v>
      </c>
      <c r="M352" s="52">
        <v>0.1052132701421801</v>
      </c>
      <c r="N352" s="53">
        <v>3498</v>
      </c>
      <c r="O352" s="52">
        <v>0.1052132701421801</v>
      </c>
      <c r="P352" s="51">
        <f t="shared" si="10"/>
        <v>1.3799313893653515</v>
      </c>
      <c r="Q352" s="50">
        <f t="shared" si="11"/>
        <v>22.117189822756341</v>
      </c>
      <c r="R352" s="39" t="s">
        <v>51</v>
      </c>
    </row>
    <row r="353" spans="1:18" x14ac:dyDescent="0.35">
      <c r="A353" s="54">
        <v>1240118</v>
      </c>
      <c r="B353" s="54">
        <v>100957</v>
      </c>
      <c r="C353" s="54" t="s">
        <v>522</v>
      </c>
      <c r="D353" s="51">
        <v>77265.219999999812</v>
      </c>
      <c r="E353" s="52">
        <v>-0.10966634678584317</v>
      </c>
      <c r="F353" s="51">
        <v>77265.219999999812</v>
      </c>
      <c r="G353" s="52">
        <v>-0.10966634678584317</v>
      </c>
      <c r="H353" s="53">
        <v>5923</v>
      </c>
      <c r="I353" s="52">
        <v>-0.18472126634549207</v>
      </c>
      <c r="J353" s="53">
        <v>5923</v>
      </c>
      <c r="K353" s="52">
        <v>-0.18472126634549207</v>
      </c>
      <c r="L353" s="53">
        <v>3627</v>
      </c>
      <c r="M353" s="52">
        <v>-0.17097142857142858</v>
      </c>
      <c r="N353" s="53">
        <v>3627</v>
      </c>
      <c r="O353" s="52">
        <v>-0.17097142857142858</v>
      </c>
      <c r="P353" s="51">
        <f t="shared" si="10"/>
        <v>1.6330300523848911</v>
      </c>
      <c r="Q353" s="50">
        <f t="shared" si="11"/>
        <v>21.302790184725616</v>
      </c>
      <c r="R353" s="39" t="s">
        <v>54</v>
      </c>
    </row>
    <row r="354" spans="1:18" x14ac:dyDescent="0.35">
      <c r="A354" s="54">
        <v>1250037</v>
      </c>
      <c r="B354" s="54">
        <v>105578</v>
      </c>
      <c r="C354" s="54" t="s">
        <v>521</v>
      </c>
      <c r="D354" s="51">
        <v>77254.29000000091</v>
      </c>
      <c r="E354" s="52">
        <v>-6.9489440044418843E-2</v>
      </c>
      <c r="F354" s="51">
        <v>77254.29000000091</v>
      </c>
      <c r="G354" s="52">
        <v>-6.9489440044418843E-2</v>
      </c>
      <c r="H354" s="53">
        <v>4565</v>
      </c>
      <c r="I354" s="52">
        <v>-0.12848415425735013</v>
      </c>
      <c r="J354" s="53">
        <v>4565</v>
      </c>
      <c r="K354" s="52">
        <v>-0.12848415425735013</v>
      </c>
      <c r="L354" s="53">
        <v>2878</v>
      </c>
      <c r="M354" s="52">
        <v>-0.13961136023916293</v>
      </c>
      <c r="N354" s="53">
        <v>2878</v>
      </c>
      <c r="O354" s="52">
        <v>-0.13961136023916293</v>
      </c>
      <c r="P354" s="51">
        <f t="shared" si="10"/>
        <v>1.5861709520500347</v>
      </c>
      <c r="Q354" s="50">
        <f t="shared" si="11"/>
        <v>26.843047255038538</v>
      </c>
      <c r="R354" s="39" t="s">
        <v>54</v>
      </c>
    </row>
    <row r="355" spans="1:18" x14ac:dyDescent="0.35">
      <c r="A355" s="54">
        <v>1230108</v>
      </c>
      <c r="B355" s="54">
        <v>106544</v>
      </c>
      <c r="C355" s="54" t="s">
        <v>520</v>
      </c>
      <c r="D355" s="51">
        <v>76590.410000001808</v>
      </c>
      <c r="E355" s="52">
        <v>0.14382315653778324</v>
      </c>
      <c r="F355" s="51">
        <v>76590.410000001808</v>
      </c>
      <c r="G355" s="52">
        <v>0.14382315653778324</v>
      </c>
      <c r="H355" s="53">
        <v>4328</v>
      </c>
      <c r="I355" s="52">
        <v>3.3428844317096466E-2</v>
      </c>
      <c r="J355" s="53">
        <v>4328</v>
      </c>
      <c r="K355" s="52">
        <v>3.3428844317096466E-2</v>
      </c>
      <c r="L355" s="53">
        <v>2889</v>
      </c>
      <c r="M355" s="52">
        <v>2.3379383634431455E-2</v>
      </c>
      <c r="N355" s="53">
        <v>2889</v>
      </c>
      <c r="O355" s="52">
        <v>2.3379383634431455E-2</v>
      </c>
      <c r="P355" s="51">
        <f t="shared" si="10"/>
        <v>1.4980962270681897</v>
      </c>
      <c r="Q355" s="50">
        <f t="shared" si="11"/>
        <v>26.511045344410455</v>
      </c>
      <c r="R355" s="39" t="s">
        <v>51</v>
      </c>
    </row>
    <row r="356" spans="1:18" x14ac:dyDescent="0.35">
      <c r="A356" s="54">
        <v>1100015</v>
      </c>
      <c r="B356" s="54">
        <v>105521</v>
      </c>
      <c r="C356" s="54" t="s">
        <v>519</v>
      </c>
      <c r="D356" s="51">
        <v>75765.690000001996</v>
      </c>
      <c r="E356" s="52">
        <v>0.17835531930085771</v>
      </c>
      <c r="F356" s="51">
        <v>75765.690000001996</v>
      </c>
      <c r="G356" s="52">
        <v>0.17835531930085771</v>
      </c>
      <c r="H356" s="53">
        <v>4651</v>
      </c>
      <c r="I356" s="52">
        <v>8.5921083352790098E-2</v>
      </c>
      <c r="J356" s="53">
        <v>4651</v>
      </c>
      <c r="K356" s="52">
        <v>8.5921083352790098E-2</v>
      </c>
      <c r="L356" s="53">
        <v>3796</v>
      </c>
      <c r="M356" s="52">
        <v>8.861485517636937E-2</v>
      </c>
      <c r="N356" s="53">
        <v>3796</v>
      </c>
      <c r="O356" s="52">
        <v>8.861485517636937E-2</v>
      </c>
      <c r="P356" s="51">
        <f t="shared" si="10"/>
        <v>1.2252370916754478</v>
      </c>
      <c r="Q356" s="50">
        <f t="shared" si="11"/>
        <v>19.959349315069019</v>
      </c>
      <c r="R356" s="39" t="s">
        <v>51</v>
      </c>
    </row>
    <row r="357" spans="1:18" x14ac:dyDescent="0.35">
      <c r="A357" s="54">
        <v>1230076</v>
      </c>
      <c r="B357" s="54">
        <v>106799</v>
      </c>
      <c r="C357" s="54" t="s">
        <v>518</v>
      </c>
      <c r="D357" s="51">
        <v>75594.670000000857</v>
      </c>
      <c r="E357" s="52">
        <v>2.4637491987688935E-2</v>
      </c>
      <c r="F357" s="51">
        <v>75594.670000000857</v>
      </c>
      <c r="G357" s="52">
        <v>2.4637491987688935E-2</v>
      </c>
      <c r="H357" s="53">
        <v>4544</v>
      </c>
      <c r="I357" s="52">
        <v>-6.8852459016393447E-2</v>
      </c>
      <c r="J357" s="53">
        <v>4544</v>
      </c>
      <c r="K357" s="52">
        <v>-6.8852459016393447E-2</v>
      </c>
      <c r="L357" s="53">
        <v>3373</v>
      </c>
      <c r="M357" s="52">
        <v>-6.4614531336661118E-2</v>
      </c>
      <c r="N357" s="53">
        <v>3373</v>
      </c>
      <c r="O357" s="52">
        <v>-6.4614531336661118E-2</v>
      </c>
      <c r="P357" s="51">
        <f t="shared" si="10"/>
        <v>1.3471686925585533</v>
      </c>
      <c r="Q357" s="50">
        <f t="shared" si="11"/>
        <v>22.411701749184957</v>
      </c>
      <c r="R357" s="39" t="s">
        <v>51</v>
      </c>
    </row>
    <row r="358" spans="1:18" x14ac:dyDescent="0.35">
      <c r="A358" s="54">
        <v>1120001</v>
      </c>
      <c r="B358" s="54">
        <v>100345</v>
      </c>
      <c r="C358" s="54" t="s">
        <v>517</v>
      </c>
      <c r="D358" s="51">
        <v>75532.560000000929</v>
      </c>
      <c r="E358" s="52">
        <v>0.1119507914044903</v>
      </c>
      <c r="F358" s="51">
        <v>75532.560000000929</v>
      </c>
      <c r="G358" s="52">
        <v>0.1119507914044903</v>
      </c>
      <c r="H358" s="53">
        <v>4675</v>
      </c>
      <c r="I358" s="52">
        <v>1.6083460117365792E-2</v>
      </c>
      <c r="J358" s="53">
        <v>4675</v>
      </c>
      <c r="K358" s="52">
        <v>1.6083460117365792E-2</v>
      </c>
      <c r="L358" s="53">
        <v>3246</v>
      </c>
      <c r="M358" s="52">
        <v>3.9052496798975669E-2</v>
      </c>
      <c r="N358" s="53">
        <v>3246</v>
      </c>
      <c r="O358" s="52">
        <v>3.9052496798975669E-2</v>
      </c>
      <c r="P358" s="51">
        <f t="shared" si="10"/>
        <v>1.440234134319162</v>
      </c>
      <c r="Q358" s="50">
        <f t="shared" si="11"/>
        <v>23.269426987061284</v>
      </c>
      <c r="R358" s="39" t="s">
        <v>51</v>
      </c>
    </row>
    <row r="359" spans="1:18" x14ac:dyDescent="0.35">
      <c r="A359" s="54">
        <v>1240045</v>
      </c>
      <c r="B359" s="54">
        <v>104840</v>
      </c>
      <c r="C359" s="54" t="s">
        <v>516</v>
      </c>
      <c r="D359" s="51">
        <v>75513.530000000464</v>
      </c>
      <c r="E359" s="52">
        <v>9.4591431454832571E-3</v>
      </c>
      <c r="F359" s="51">
        <v>75513.530000000464</v>
      </c>
      <c r="G359" s="52">
        <v>9.4591431454832571E-3</v>
      </c>
      <c r="H359" s="53">
        <v>5531</v>
      </c>
      <c r="I359" s="52">
        <v>-8.1686867009795786E-2</v>
      </c>
      <c r="J359" s="53">
        <v>5531</v>
      </c>
      <c r="K359" s="52">
        <v>-8.1686867009795786E-2</v>
      </c>
      <c r="L359" s="53">
        <v>3765</v>
      </c>
      <c r="M359" s="52">
        <v>-2.8136293236964378E-2</v>
      </c>
      <c r="N359" s="53">
        <v>3765</v>
      </c>
      <c r="O359" s="52">
        <v>-2.8136293236964378E-2</v>
      </c>
      <c r="P359" s="51">
        <f t="shared" si="10"/>
        <v>1.4690571049136787</v>
      </c>
      <c r="Q359" s="50">
        <f t="shared" si="11"/>
        <v>20.056714475431729</v>
      </c>
      <c r="R359" s="39" t="s">
        <v>51</v>
      </c>
    </row>
    <row r="360" spans="1:18" x14ac:dyDescent="0.35">
      <c r="A360" s="54">
        <v>1250043</v>
      </c>
      <c r="B360" s="54">
        <v>106811</v>
      </c>
      <c r="C360" s="54" t="s">
        <v>515</v>
      </c>
      <c r="D360" s="51">
        <v>75441.300000001589</v>
      </c>
      <c r="E360" s="52">
        <v>-6.2630114675483031E-2</v>
      </c>
      <c r="F360" s="51">
        <v>75441.300000001589</v>
      </c>
      <c r="G360" s="52">
        <v>-6.2630114675483031E-2</v>
      </c>
      <c r="H360" s="53">
        <v>4029</v>
      </c>
      <c r="I360" s="52">
        <v>-0.11799474605954466</v>
      </c>
      <c r="J360" s="53">
        <v>4029</v>
      </c>
      <c r="K360" s="52">
        <v>-0.11799474605954466</v>
      </c>
      <c r="L360" s="53">
        <v>2681</v>
      </c>
      <c r="M360" s="52">
        <v>-9.6393663633299626E-2</v>
      </c>
      <c r="N360" s="53">
        <v>2681</v>
      </c>
      <c r="O360" s="52">
        <v>-9.6393663633299626E-2</v>
      </c>
      <c r="P360" s="51">
        <f t="shared" si="10"/>
        <v>1.5027974636329728</v>
      </c>
      <c r="Q360" s="50">
        <f t="shared" si="11"/>
        <v>28.139239089892424</v>
      </c>
      <c r="R360" s="39" t="s">
        <v>54</v>
      </c>
    </row>
    <row r="361" spans="1:18" x14ac:dyDescent="0.35">
      <c r="A361" s="54">
        <v>1260033</v>
      </c>
      <c r="B361" s="54">
        <v>107343</v>
      </c>
      <c r="C361" s="54" t="s">
        <v>514</v>
      </c>
      <c r="D361" s="51">
        <v>74544.160000001459</v>
      </c>
      <c r="E361" s="52"/>
      <c r="F361" s="51">
        <v>38896.359999999535</v>
      </c>
      <c r="G361" s="52"/>
      <c r="H361" s="53">
        <v>4215</v>
      </c>
      <c r="I361" s="52" t="s">
        <v>52</v>
      </c>
      <c r="J361" s="53">
        <v>2187</v>
      </c>
      <c r="K361" s="52"/>
      <c r="L361" s="53">
        <v>2862</v>
      </c>
      <c r="M361" s="52" t="s">
        <v>52</v>
      </c>
      <c r="N361" s="53">
        <v>1454</v>
      </c>
      <c r="O361" s="52"/>
      <c r="P361" s="51">
        <f t="shared" si="10"/>
        <v>1.4727463312368974</v>
      </c>
      <c r="Q361" s="50">
        <f t="shared" si="11"/>
        <v>26.046177498253481</v>
      </c>
      <c r="R361" s="39" t="s">
        <v>51</v>
      </c>
    </row>
    <row r="362" spans="1:18" x14ac:dyDescent="0.35">
      <c r="A362" s="54">
        <v>1250022</v>
      </c>
      <c r="B362" s="54">
        <v>104117</v>
      </c>
      <c r="C362" s="54" t="s">
        <v>513</v>
      </c>
      <c r="D362" s="51">
        <v>74532.740000001359</v>
      </c>
      <c r="E362" s="52">
        <v>-0.11198777202193411</v>
      </c>
      <c r="F362" s="51">
        <v>74532.740000001359</v>
      </c>
      <c r="G362" s="52">
        <v>-0.11198777202193411</v>
      </c>
      <c r="H362" s="53">
        <v>3929</v>
      </c>
      <c r="I362" s="52">
        <v>-0.19272652558043971</v>
      </c>
      <c r="J362" s="53">
        <v>3929</v>
      </c>
      <c r="K362" s="52">
        <v>-0.19272652558043971</v>
      </c>
      <c r="L362" s="53">
        <v>2544</v>
      </c>
      <c r="M362" s="52">
        <v>-0.2</v>
      </c>
      <c r="N362" s="53">
        <v>2544</v>
      </c>
      <c r="O362" s="52">
        <v>-0.2</v>
      </c>
      <c r="P362" s="51">
        <f t="shared" si="10"/>
        <v>1.5444182389937107</v>
      </c>
      <c r="Q362" s="50">
        <f t="shared" si="11"/>
        <v>29.297460691824433</v>
      </c>
      <c r="R362" s="39" t="s">
        <v>54</v>
      </c>
    </row>
    <row r="363" spans="1:18" x14ac:dyDescent="0.35">
      <c r="A363" s="54">
        <v>1240136</v>
      </c>
      <c r="B363" s="54">
        <v>107895</v>
      </c>
      <c r="C363" s="54" t="s">
        <v>512</v>
      </c>
      <c r="D363" s="51">
        <v>74184.670000001002</v>
      </c>
      <c r="E363" s="52"/>
      <c r="F363" s="51">
        <v>74184.670000001002</v>
      </c>
      <c r="G363" s="52"/>
      <c r="H363" s="53">
        <v>4496</v>
      </c>
      <c r="I363" s="52" t="s">
        <v>52</v>
      </c>
      <c r="J363" s="53">
        <v>4496</v>
      </c>
      <c r="K363" s="52"/>
      <c r="L363" s="53">
        <v>2858</v>
      </c>
      <c r="M363" s="52" t="s">
        <v>52</v>
      </c>
      <c r="N363" s="53">
        <v>2858</v>
      </c>
      <c r="O363" s="52"/>
      <c r="P363" s="51">
        <f t="shared" si="10"/>
        <v>1.5731280615815255</v>
      </c>
      <c r="Q363" s="50">
        <f t="shared" si="11"/>
        <v>25.95684744576662</v>
      </c>
      <c r="R363" s="39" t="s">
        <v>54</v>
      </c>
    </row>
    <row r="364" spans="1:18" x14ac:dyDescent="0.35">
      <c r="A364" s="54">
        <v>1210004</v>
      </c>
      <c r="B364" s="54">
        <v>100835</v>
      </c>
      <c r="C364" s="54" t="s">
        <v>511</v>
      </c>
      <c r="D364" s="51">
        <v>74126.109999999288</v>
      </c>
      <c r="E364" s="52">
        <v>-0.14825280971822333</v>
      </c>
      <c r="F364" s="51">
        <v>74126.109999999288</v>
      </c>
      <c r="G364" s="52">
        <v>-0.14825280971822333</v>
      </c>
      <c r="H364" s="53">
        <v>5522</v>
      </c>
      <c r="I364" s="52">
        <v>-0.236343520951459</v>
      </c>
      <c r="J364" s="53">
        <v>5522</v>
      </c>
      <c r="K364" s="52">
        <v>-0.236343520951459</v>
      </c>
      <c r="L364" s="53">
        <v>3076</v>
      </c>
      <c r="M364" s="52">
        <v>-0.28713789107763615</v>
      </c>
      <c r="N364" s="53">
        <v>3076</v>
      </c>
      <c r="O364" s="52">
        <v>-0.28713789107763615</v>
      </c>
      <c r="P364" s="51">
        <f t="shared" si="10"/>
        <v>1.7951885565669701</v>
      </c>
      <c r="Q364" s="50">
        <f t="shared" si="11"/>
        <v>24.098215214564139</v>
      </c>
      <c r="R364" s="39" t="s">
        <v>54</v>
      </c>
    </row>
    <row r="365" spans="1:18" x14ac:dyDescent="0.35">
      <c r="A365" s="54">
        <v>1240429</v>
      </c>
      <c r="B365" s="54">
        <v>107750</v>
      </c>
      <c r="C365" s="54" t="s">
        <v>510</v>
      </c>
      <c r="D365" s="51">
        <v>73963.230000001146</v>
      </c>
      <c r="E365" s="52"/>
      <c r="F365" s="51"/>
      <c r="G365" s="52"/>
      <c r="H365" s="53">
        <v>4956</v>
      </c>
      <c r="I365" s="52" t="s">
        <v>52</v>
      </c>
      <c r="J365" s="53"/>
      <c r="K365" s="52"/>
      <c r="L365" s="53">
        <v>3578</v>
      </c>
      <c r="M365" s="52" t="s">
        <v>52</v>
      </c>
      <c r="N365" s="53"/>
      <c r="O365" s="52"/>
      <c r="P365" s="51">
        <f t="shared" si="10"/>
        <v>1.3851313583007268</v>
      </c>
      <c r="Q365" s="50">
        <f t="shared" si="11"/>
        <v>20.671668529905293</v>
      </c>
      <c r="R365" s="39" t="s">
        <v>51</v>
      </c>
    </row>
    <row r="366" spans="1:18" x14ac:dyDescent="0.35">
      <c r="A366" s="54">
        <v>1240300</v>
      </c>
      <c r="B366" s="54">
        <v>105352</v>
      </c>
      <c r="C366" s="54" t="s">
        <v>509</v>
      </c>
      <c r="D366" s="51">
        <v>73513.440000000264</v>
      </c>
      <c r="E366" s="52">
        <v>8.4668290161567811E-3</v>
      </c>
      <c r="F366" s="51">
        <v>73513.440000000264</v>
      </c>
      <c r="G366" s="52">
        <v>8.4668290161567811E-3</v>
      </c>
      <c r="H366" s="53">
        <v>4764</v>
      </c>
      <c r="I366" s="52">
        <v>-0.10164058080331888</v>
      </c>
      <c r="J366" s="53">
        <v>4764</v>
      </c>
      <c r="K366" s="52">
        <v>-0.10164058080331888</v>
      </c>
      <c r="L366" s="53">
        <v>3099</v>
      </c>
      <c r="M366" s="52">
        <v>-9.571053399474759E-2</v>
      </c>
      <c r="N366" s="53">
        <v>3099</v>
      </c>
      <c r="O366" s="52">
        <v>-9.571053399474759E-2</v>
      </c>
      <c r="P366" s="51">
        <f t="shared" si="10"/>
        <v>1.537270087124879</v>
      </c>
      <c r="Q366" s="50">
        <f t="shared" si="11"/>
        <v>23.721665053243068</v>
      </c>
      <c r="R366" s="39" t="s">
        <v>54</v>
      </c>
    </row>
    <row r="367" spans="1:18" x14ac:dyDescent="0.35">
      <c r="A367" s="54">
        <v>1240140</v>
      </c>
      <c r="B367" s="54">
        <v>102678</v>
      </c>
      <c r="C367" s="54" t="s">
        <v>508</v>
      </c>
      <c r="D367" s="51">
        <v>73381.370000000446</v>
      </c>
      <c r="E367" s="52">
        <v>0.10692853731584265</v>
      </c>
      <c r="F367" s="51">
        <v>73381.370000000446</v>
      </c>
      <c r="G367" s="52">
        <v>0.10692853731584265</v>
      </c>
      <c r="H367" s="53">
        <v>5068</v>
      </c>
      <c r="I367" s="52">
        <v>2.7575020275750203E-2</v>
      </c>
      <c r="J367" s="53">
        <v>5068</v>
      </c>
      <c r="K367" s="52">
        <v>2.7575020275750203E-2</v>
      </c>
      <c r="L367" s="53">
        <v>3261</v>
      </c>
      <c r="M367" s="52">
        <v>-3.6663611365719525E-3</v>
      </c>
      <c r="N367" s="53">
        <v>3261</v>
      </c>
      <c r="O367" s="52">
        <v>-3.6663611365719525E-3</v>
      </c>
      <c r="P367" s="51">
        <f t="shared" si="10"/>
        <v>1.5541245016865992</v>
      </c>
      <c r="Q367" s="50">
        <f t="shared" si="11"/>
        <v>22.50272002453249</v>
      </c>
      <c r="R367" s="39" t="s">
        <v>54</v>
      </c>
    </row>
    <row r="368" spans="1:18" x14ac:dyDescent="0.35">
      <c r="A368" s="54">
        <v>1160030</v>
      </c>
      <c r="B368" s="54">
        <v>107223</v>
      </c>
      <c r="C368" s="54" t="s">
        <v>507</v>
      </c>
      <c r="D368" s="51">
        <v>73329.75000000096</v>
      </c>
      <c r="E368" s="52">
        <v>1.274963803040184</v>
      </c>
      <c r="F368" s="51">
        <v>38970.489999999365</v>
      </c>
      <c r="G368" s="52">
        <v>0.2090107239795152</v>
      </c>
      <c r="H368" s="53">
        <v>4642</v>
      </c>
      <c r="I368" s="52">
        <v>1.3326633165829145</v>
      </c>
      <c r="J368" s="53">
        <v>2479</v>
      </c>
      <c r="K368" s="52">
        <v>0.2457286432160804</v>
      </c>
      <c r="L368" s="53">
        <v>3358</v>
      </c>
      <c r="M368" s="52">
        <v>1.449307075127644</v>
      </c>
      <c r="N368" s="53">
        <v>1802</v>
      </c>
      <c r="O368" s="52">
        <v>0.31436907366885486</v>
      </c>
      <c r="P368" s="51">
        <f t="shared" si="10"/>
        <v>1.3823704586063132</v>
      </c>
      <c r="Q368" s="50">
        <f t="shared" si="11"/>
        <v>21.837328767123573</v>
      </c>
      <c r="R368" s="39" t="s">
        <v>51</v>
      </c>
    </row>
    <row r="369" spans="1:18" x14ac:dyDescent="0.35">
      <c r="A369" s="54">
        <v>1190001</v>
      </c>
      <c r="B369" s="54">
        <v>104723</v>
      </c>
      <c r="C369" s="54" t="s">
        <v>506</v>
      </c>
      <c r="D369" s="51">
        <v>72859.910000001168</v>
      </c>
      <c r="E369" s="52">
        <v>0.26188491477592624</v>
      </c>
      <c r="F369" s="51">
        <v>72859.910000001168</v>
      </c>
      <c r="G369" s="52">
        <v>0.26188491477592624</v>
      </c>
      <c r="H369" s="53">
        <v>4944</v>
      </c>
      <c r="I369" s="52">
        <v>0.17938931297709923</v>
      </c>
      <c r="J369" s="53">
        <v>4944</v>
      </c>
      <c r="K369" s="52">
        <v>0.17938931297709923</v>
      </c>
      <c r="L369" s="53">
        <v>3673</v>
      </c>
      <c r="M369" s="52">
        <v>0.17535999999999999</v>
      </c>
      <c r="N369" s="53">
        <v>3673</v>
      </c>
      <c r="O369" s="52">
        <v>0.17535999999999999</v>
      </c>
      <c r="P369" s="51">
        <f t="shared" si="10"/>
        <v>1.3460386604955077</v>
      </c>
      <c r="Q369" s="50">
        <f t="shared" si="11"/>
        <v>19.836621290498549</v>
      </c>
      <c r="R369" s="39" t="s">
        <v>51</v>
      </c>
    </row>
    <row r="370" spans="1:18" x14ac:dyDescent="0.35">
      <c r="A370" s="54">
        <v>1240039</v>
      </c>
      <c r="B370" s="54">
        <v>103403</v>
      </c>
      <c r="C370" s="54" t="s">
        <v>505</v>
      </c>
      <c r="D370" s="51">
        <v>72856.550000000192</v>
      </c>
      <c r="E370" s="52">
        <v>-7.9162415206195436E-2</v>
      </c>
      <c r="F370" s="51">
        <v>72856.550000000192</v>
      </c>
      <c r="G370" s="52">
        <v>-7.9162415206195436E-2</v>
      </c>
      <c r="H370" s="53">
        <v>5088</v>
      </c>
      <c r="I370" s="52">
        <v>-0.1431458403502863</v>
      </c>
      <c r="J370" s="53">
        <v>5088</v>
      </c>
      <c r="K370" s="52">
        <v>-0.1431458403502863</v>
      </c>
      <c r="L370" s="53">
        <v>3323</v>
      </c>
      <c r="M370" s="52">
        <v>-0.12529613056067387</v>
      </c>
      <c r="N370" s="53">
        <v>3323</v>
      </c>
      <c r="O370" s="52">
        <v>-0.12529613056067387</v>
      </c>
      <c r="P370" s="51">
        <f t="shared" si="10"/>
        <v>1.5311465543183871</v>
      </c>
      <c r="Q370" s="50">
        <f t="shared" si="11"/>
        <v>21.924932290099367</v>
      </c>
      <c r="R370" s="39" t="s">
        <v>54</v>
      </c>
    </row>
    <row r="371" spans="1:18" x14ac:dyDescent="0.35">
      <c r="A371" s="54">
        <v>1270033</v>
      </c>
      <c r="B371" s="54">
        <v>107822</v>
      </c>
      <c r="C371" s="54" t="s">
        <v>504</v>
      </c>
      <c r="D371" s="51">
        <v>72721.339999999676</v>
      </c>
      <c r="E371" s="52"/>
      <c r="F371" s="51"/>
      <c r="G371" s="52"/>
      <c r="H371" s="53">
        <v>3422</v>
      </c>
      <c r="I371" s="52" t="s">
        <v>52</v>
      </c>
      <c r="J371" s="53"/>
      <c r="K371" s="52"/>
      <c r="L371" s="53">
        <v>2716</v>
      </c>
      <c r="M371" s="52" t="s">
        <v>52</v>
      </c>
      <c r="N371" s="53"/>
      <c r="O371" s="52"/>
      <c r="P371" s="51">
        <f t="shared" si="10"/>
        <v>1.259941089837997</v>
      </c>
      <c r="Q371" s="50">
        <f t="shared" si="11"/>
        <v>26.77516200294539</v>
      </c>
      <c r="R371" s="39" t="s">
        <v>51</v>
      </c>
    </row>
    <row r="372" spans="1:18" x14ac:dyDescent="0.35">
      <c r="A372" s="54">
        <v>1130001</v>
      </c>
      <c r="B372" s="54">
        <v>104446</v>
      </c>
      <c r="C372" s="54" t="s">
        <v>503</v>
      </c>
      <c r="D372" s="51">
        <v>72261.280000000683</v>
      </c>
      <c r="E372" s="52">
        <v>-3.1394409451250903E-2</v>
      </c>
      <c r="F372" s="51">
        <v>72261.280000000683</v>
      </c>
      <c r="G372" s="52">
        <v>-3.1394409451250903E-2</v>
      </c>
      <c r="H372" s="53">
        <v>4664</v>
      </c>
      <c r="I372" s="52">
        <v>-0.16145271485077312</v>
      </c>
      <c r="J372" s="53">
        <v>4664</v>
      </c>
      <c r="K372" s="52">
        <v>-0.16145271485077312</v>
      </c>
      <c r="L372" s="53">
        <v>3281</v>
      </c>
      <c r="M372" s="52">
        <v>-0.12459978655282818</v>
      </c>
      <c r="N372" s="53">
        <v>3281</v>
      </c>
      <c r="O372" s="52">
        <v>-0.12459978655282818</v>
      </c>
      <c r="P372" s="51">
        <f t="shared" si="10"/>
        <v>1.4215178299298994</v>
      </c>
      <c r="Q372" s="50">
        <f t="shared" si="11"/>
        <v>22.024163364828006</v>
      </c>
      <c r="R372" s="39" t="s">
        <v>51</v>
      </c>
    </row>
    <row r="373" spans="1:18" x14ac:dyDescent="0.35">
      <c r="A373" s="54">
        <v>1120002</v>
      </c>
      <c r="B373" s="54">
        <v>104299</v>
      </c>
      <c r="C373" s="54" t="s">
        <v>502</v>
      </c>
      <c r="D373" s="51">
        <v>72176.200000001554</v>
      </c>
      <c r="E373" s="52">
        <v>7.2928171867845157E-2</v>
      </c>
      <c r="F373" s="51">
        <v>72176.200000001554</v>
      </c>
      <c r="G373" s="52">
        <v>7.2928171867845157E-2</v>
      </c>
      <c r="H373" s="53">
        <v>4461</v>
      </c>
      <c r="I373" s="52">
        <v>-7.0043777360850532E-2</v>
      </c>
      <c r="J373" s="53">
        <v>4461</v>
      </c>
      <c r="K373" s="52">
        <v>-7.0043777360850532E-2</v>
      </c>
      <c r="L373" s="53">
        <v>3109</v>
      </c>
      <c r="M373" s="52">
        <v>-5.4727880814837336E-2</v>
      </c>
      <c r="N373" s="53">
        <v>3109</v>
      </c>
      <c r="O373" s="52">
        <v>-5.4727880814837336E-2</v>
      </c>
      <c r="P373" s="51">
        <f t="shared" si="10"/>
        <v>1.4348665165648118</v>
      </c>
      <c r="Q373" s="50">
        <f t="shared" si="11"/>
        <v>23.215246059826811</v>
      </c>
      <c r="R373" s="39" t="s">
        <v>51</v>
      </c>
    </row>
    <row r="374" spans="1:18" x14ac:dyDescent="0.35">
      <c r="A374" s="54">
        <v>1240421</v>
      </c>
      <c r="B374" s="54">
        <v>105472</v>
      </c>
      <c r="C374" s="54" t="s">
        <v>501</v>
      </c>
      <c r="D374" s="51">
        <v>71588.580000000889</v>
      </c>
      <c r="E374" s="52"/>
      <c r="F374" s="51">
        <v>17064.479999999792</v>
      </c>
      <c r="G374" s="52"/>
      <c r="H374" s="53">
        <v>4697</v>
      </c>
      <c r="I374" s="52" t="s">
        <v>52</v>
      </c>
      <c r="J374" s="53">
        <v>1104</v>
      </c>
      <c r="K374" s="52"/>
      <c r="L374" s="53">
        <v>3287</v>
      </c>
      <c r="M374" s="52" t="s">
        <v>52</v>
      </c>
      <c r="N374" s="53">
        <v>770</v>
      </c>
      <c r="O374" s="52"/>
      <c r="P374" s="51">
        <f t="shared" si="10"/>
        <v>1.4289625798600547</v>
      </c>
      <c r="Q374" s="50">
        <f t="shared" si="11"/>
        <v>21.779306358381774</v>
      </c>
      <c r="R374" s="39" t="s">
        <v>51</v>
      </c>
    </row>
    <row r="375" spans="1:18" x14ac:dyDescent="0.35">
      <c r="A375" s="54">
        <v>1260012</v>
      </c>
      <c r="B375" s="54">
        <v>102125</v>
      </c>
      <c r="C375" s="54" t="s">
        <v>500</v>
      </c>
      <c r="D375" s="51">
        <v>71530.560000000682</v>
      </c>
      <c r="E375" s="52">
        <v>-0.14468732785218658</v>
      </c>
      <c r="F375" s="51">
        <v>71530.560000000682</v>
      </c>
      <c r="G375" s="52">
        <v>-0.14468732785218658</v>
      </c>
      <c r="H375" s="53">
        <v>4559</v>
      </c>
      <c r="I375" s="52">
        <v>-0.1893669985775249</v>
      </c>
      <c r="J375" s="53">
        <v>4559</v>
      </c>
      <c r="K375" s="52">
        <v>-0.1893669985775249</v>
      </c>
      <c r="L375" s="53">
        <v>2824</v>
      </c>
      <c r="M375" s="52">
        <v>-0.20180893159977389</v>
      </c>
      <c r="N375" s="53">
        <v>2824</v>
      </c>
      <c r="O375" s="52">
        <v>-0.20180893159977389</v>
      </c>
      <c r="P375" s="51">
        <f t="shared" si="10"/>
        <v>1.6143767705382437</v>
      </c>
      <c r="Q375" s="50">
        <f t="shared" si="11"/>
        <v>25.329518413597974</v>
      </c>
      <c r="R375" s="39" t="s">
        <v>54</v>
      </c>
    </row>
    <row r="376" spans="1:18" x14ac:dyDescent="0.35">
      <c r="A376" s="54">
        <v>1100014</v>
      </c>
      <c r="B376" s="54">
        <v>105420</v>
      </c>
      <c r="C376" s="54" t="s">
        <v>499</v>
      </c>
      <c r="D376" s="51">
        <v>71407.350000000908</v>
      </c>
      <c r="E376" s="52">
        <v>0.35969505597979945</v>
      </c>
      <c r="F376" s="51">
        <v>71407.350000000908</v>
      </c>
      <c r="G376" s="52">
        <v>0.35969505597979945</v>
      </c>
      <c r="H376" s="53">
        <v>4053</v>
      </c>
      <c r="I376" s="52">
        <v>0.228554107305244</v>
      </c>
      <c r="J376" s="53">
        <v>4053</v>
      </c>
      <c r="K376" s="52">
        <v>0.228554107305244</v>
      </c>
      <c r="L376" s="53">
        <v>2858</v>
      </c>
      <c r="M376" s="52">
        <v>0.24260869565217391</v>
      </c>
      <c r="N376" s="53">
        <v>2858</v>
      </c>
      <c r="O376" s="52">
        <v>0.24260869565217391</v>
      </c>
      <c r="P376" s="51">
        <f t="shared" si="10"/>
        <v>1.4181245626312107</v>
      </c>
      <c r="Q376" s="50">
        <f t="shared" si="11"/>
        <v>24.985076976907244</v>
      </c>
      <c r="R376" s="39" t="s">
        <v>51</v>
      </c>
    </row>
    <row r="377" spans="1:18" x14ac:dyDescent="0.35">
      <c r="A377" s="54">
        <v>1240431</v>
      </c>
      <c r="B377" s="54">
        <v>107835</v>
      </c>
      <c r="C377" s="54" t="s">
        <v>498</v>
      </c>
      <c r="D377" s="51">
        <v>71372.560000000216</v>
      </c>
      <c r="E377" s="52"/>
      <c r="F377" s="51"/>
      <c r="G377" s="52"/>
      <c r="H377" s="53">
        <v>4468</v>
      </c>
      <c r="I377" s="52" t="s">
        <v>52</v>
      </c>
      <c r="J377" s="53"/>
      <c r="K377" s="52"/>
      <c r="L377" s="53">
        <v>3020</v>
      </c>
      <c r="M377" s="52" t="s">
        <v>52</v>
      </c>
      <c r="N377" s="53"/>
      <c r="O377" s="52"/>
      <c r="P377" s="51">
        <f t="shared" si="10"/>
        <v>1.4794701986754968</v>
      </c>
      <c r="Q377" s="50">
        <f t="shared" si="11"/>
        <v>23.633298013245106</v>
      </c>
      <c r="R377" s="39" t="s">
        <v>51</v>
      </c>
    </row>
    <row r="378" spans="1:18" x14ac:dyDescent="0.35">
      <c r="A378" s="54">
        <v>1240015</v>
      </c>
      <c r="B378" s="54">
        <v>106356</v>
      </c>
      <c r="C378" s="54" t="s">
        <v>497</v>
      </c>
      <c r="D378" s="51">
        <v>70981.93000000107</v>
      </c>
      <c r="E378" s="52">
        <v>-5.1159657763725656E-2</v>
      </c>
      <c r="F378" s="51">
        <v>70981.93000000107</v>
      </c>
      <c r="G378" s="52">
        <v>-5.1159657763725656E-2</v>
      </c>
      <c r="H378" s="53">
        <v>4981</v>
      </c>
      <c r="I378" s="52">
        <v>-0.13328693231251088</v>
      </c>
      <c r="J378" s="53">
        <v>4981</v>
      </c>
      <c r="K378" s="52">
        <v>-0.13328693231251088</v>
      </c>
      <c r="L378" s="53">
        <v>3754</v>
      </c>
      <c r="M378" s="52">
        <v>-0.10555158446509412</v>
      </c>
      <c r="N378" s="53">
        <v>3754</v>
      </c>
      <c r="O378" s="52">
        <v>-0.10555158446509412</v>
      </c>
      <c r="P378" s="51">
        <f t="shared" si="10"/>
        <v>1.326851358550879</v>
      </c>
      <c r="Q378" s="50">
        <f t="shared" si="11"/>
        <v>18.908345764518131</v>
      </c>
      <c r="R378" s="39" t="s">
        <v>51</v>
      </c>
    </row>
    <row r="379" spans="1:18" x14ac:dyDescent="0.35">
      <c r="A379" s="54">
        <v>1240350</v>
      </c>
      <c r="B379" s="54">
        <v>106533</v>
      </c>
      <c r="C379" s="54" t="s">
        <v>496</v>
      </c>
      <c r="D379" s="51">
        <v>70951.640000000683</v>
      </c>
      <c r="E379" s="52">
        <v>0.16381665300302201</v>
      </c>
      <c r="F379" s="51">
        <v>70951.640000000683</v>
      </c>
      <c r="G379" s="52">
        <v>0.16381665300302201</v>
      </c>
      <c r="H379" s="53">
        <v>4147</v>
      </c>
      <c r="I379" s="52">
        <v>3.8567493112947659E-2</v>
      </c>
      <c r="J379" s="53">
        <v>4147</v>
      </c>
      <c r="K379" s="52">
        <v>3.8567493112947659E-2</v>
      </c>
      <c r="L379" s="53">
        <v>2968</v>
      </c>
      <c r="M379" s="52">
        <v>8.8774761555392517E-2</v>
      </c>
      <c r="N379" s="53">
        <v>2968</v>
      </c>
      <c r="O379" s="52">
        <v>8.8774761555392517E-2</v>
      </c>
      <c r="P379" s="51">
        <f t="shared" si="10"/>
        <v>1.3972371967654986</v>
      </c>
      <c r="Q379" s="50">
        <f t="shared" si="11"/>
        <v>23.905539083558182</v>
      </c>
      <c r="R379" s="39" t="s">
        <v>51</v>
      </c>
    </row>
    <row r="380" spans="1:18" x14ac:dyDescent="0.35">
      <c r="A380" s="54">
        <v>1240053</v>
      </c>
      <c r="B380" s="54">
        <v>104593</v>
      </c>
      <c r="C380" s="54" t="s">
        <v>495</v>
      </c>
      <c r="D380" s="51">
        <v>70813.539999999673</v>
      </c>
      <c r="E380" s="52">
        <v>-7.3658942747246423E-2</v>
      </c>
      <c r="F380" s="51">
        <v>70813.539999999673</v>
      </c>
      <c r="G380" s="52">
        <v>-7.3658942747246423E-2</v>
      </c>
      <c r="H380" s="53">
        <v>4840</v>
      </c>
      <c r="I380" s="52">
        <v>-0.15399405698304491</v>
      </c>
      <c r="J380" s="53">
        <v>4840</v>
      </c>
      <c r="K380" s="52">
        <v>-0.15399405698304491</v>
      </c>
      <c r="L380" s="53">
        <v>3130</v>
      </c>
      <c r="M380" s="52">
        <v>-0.15860215053763441</v>
      </c>
      <c r="N380" s="53">
        <v>3130</v>
      </c>
      <c r="O380" s="52">
        <v>-0.15860215053763441</v>
      </c>
      <c r="P380" s="51">
        <f t="shared" si="10"/>
        <v>1.5463258785942493</v>
      </c>
      <c r="Q380" s="50">
        <f t="shared" si="11"/>
        <v>22.624134185303411</v>
      </c>
      <c r="R380" s="39" t="s">
        <v>54</v>
      </c>
    </row>
    <row r="381" spans="1:18" x14ac:dyDescent="0.35">
      <c r="A381" s="54">
        <v>1270031</v>
      </c>
      <c r="B381" s="54">
        <v>107117</v>
      </c>
      <c r="C381" s="54" t="s">
        <v>494</v>
      </c>
      <c r="D381" s="51">
        <v>70502.190000001312</v>
      </c>
      <c r="E381" s="52">
        <v>-2.0190808090927877E-2</v>
      </c>
      <c r="F381" s="51">
        <v>70502.190000001312</v>
      </c>
      <c r="G381" s="52">
        <v>-2.0190808090927877E-2</v>
      </c>
      <c r="H381" s="53">
        <v>4738</v>
      </c>
      <c r="I381" s="52">
        <v>-9.3552707097761617E-2</v>
      </c>
      <c r="J381" s="53">
        <v>4738</v>
      </c>
      <c r="K381" s="52">
        <v>-9.3552707097761617E-2</v>
      </c>
      <c r="L381" s="53">
        <v>3363</v>
      </c>
      <c r="M381" s="52">
        <v>-7.7619308831596276E-2</v>
      </c>
      <c r="N381" s="53">
        <v>3363</v>
      </c>
      <c r="O381" s="52">
        <v>-7.7619308831596276E-2</v>
      </c>
      <c r="P381" s="51">
        <f t="shared" si="10"/>
        <v>1.4088611358905738</v>
      </c>
      <c r="Q381" s="50">
        <f t="shared" si="11"/>
        <v>20.964076717217161</v>
      </c>
      <c r="R381" s="39" t="s">
        <v>51</v>
      </c>
    </row>
    <row r="382" spans="1:18" x14ac:dyDescent="0.35">
      <c r="A382" s="54">
        <v>1060006</v>
      </c>
      <c r="B382" s="54">
        <v>104371</v>
      </c>
      <c r="C382" s="54" t="s">
        <v>493</v>
      </c>
      <c r="D382" s="51">
        <v>70369.580000001224</v>
      </c>
      <c r="E382" s="52">
        <v>-9.5201401501145616E-2</v>
      </c>
      <c r="F382" s="51">
        <v>70369.580000001224</v>
      </c>
      <c r="G382" s="52">
        <v>-9.5201401501145616E-2</v>
      </c>
      <c r="H382" s="53">
        <v>3665</v>
      </c>
      <c r="I382" s="52">
        <v>-0.17547806524184478</v>
      </c>
      <c r="J382" s="53">
        <v>3665</v>
      </c>
      <c r="K382" s="52">
        <v>-0.17547806524184478</v>
      </c>
      <c r="L382" s="53">
        <v>2645</v>
      </c>
      <c r="M382" s="52">
        <v>-0.15522197381028424</v>
      </c>
      <c r="N382" s="53">
        <v>2645</v>
      </c>
      <c r="O382" s="52">
        <v>-0.15522197381028424</v>
      </c>
      <c r="P382" s="51">
        <f t="shared" si="10"/>
        <v>1.385633270321361</v>
      </c>
      <c r="Q382" s="50">
        <f t="shared" si="11"/>
        <v>26.60475614366776</v>
      </c>
      <c r="R382" s="39" t="s">
        <v>51</v>
      </c>
    </row>
    <row r="383" spans="1:18" x14ac:dyDescent="0.35">
      <c r="A383" s="54">
        <v>1210090</v>
      </c>
      <c r="B383" s="54">
        <v>107365</v>
      </c>
      <c r="C383" s="54" t="s">
        <v>492</v>
      </c>
      <c r="D383" s="51">
        <v>70346.150000001086</v>
      </c>
      <c r="E383" s="52"/>
      <c r="F383" s="51"/>
      <c r="G383" s="52"/>
      <c r="H383" s="53">
        <v>4587</v>
      </c>
      <c r="I383" s="52" t="s">
        <v>52</v>
      </c>
      <c r="J383" s="53"/>
      <c r="K383" s="52"/>
      <c r="L383" s="53">
        <v>3459</v>
      </c>
      <c r="M383" s="52" t="s">
        <v>52</v>
      </c>
      <c r="N383" s="53"/>
      <c r="O383" s="52"/>
      <c r="P383" s="51">
        <f t="shared" si="10"/>
        <v>1.3261058109280139</v>
      </c>
      <c r="Q383" s="50">
        <f t="shared" si="11"/>
        <v>20.337135010118846</v>
      </c>
      <c r="R383" s="39" t="s">
        <v>51</v>
      </c>
    </row>
    <row r="384" spans="1:18" x14ac:dyDescent="0.35">
      <c r="A384" s="54">
        <v>1240102</v>
      </c>
      <c r="B384" s="54">
        <v>104210</v>
      </c>
      <c r="C384" s="54" t="s">
        <v>491</v>
      </c>
      <c r="D384" s="51">
        <v>70312.14999999982</v>
      </c>
      <c r="E384" s="52">
        <v>-0.17165541211976335</v>
      </c>
      <c r="F384" s="51">
        <v>70312.14999999982</v>
      </c>
      <c r="G384" s="52">
        <v>-0.17165541211976335</v>
      </c>
      <c r="H384" s="53">
        <v>4796</v>
      </c>
      <c r="I384" s="52">
        <v>-0.21787345075016307</v>
      </c>
      <c r="J384" s="53">
        <v>4796</v>
      </c>
      <c r="K384" s="52">
        <v>-0.21787345075016307</v>
      </c>
      <c r="L384" s="53">
        <v>3113</v>
      </c>
      <c r="M384" s="52">
        <v>-0.20403988749680388</v>
      </c>
      <c r="N384" s="53">
        <v>3113</v>
      </c>
      <c r="O384" s="52">
        <v>-0.20403988749680388</v>
      </c>
      <c r="P384" s="51">
        <f t="shared" si="10"/>
        <v>1.5406360424028269</v>
      </c>
      <c r="Q384" s="50">
        <f t="shared" si="11"/>
        <v>22.586620623193003</v>
      </c>
      <c r="R384" s="39" t="s">
        <v>54</v>
      </c>
    </row>
    <row r="385" spans="1:18" x14ac:dyDescent="0.35">
      <c r="A385" s="54">
        <v>1240128</v>
      </c>
      <c r="B385" s="54">
        <v>105542</v>
      </c>
      <c r="C385" s="54" t="s">
        <v>490</v>
      </c>
      <c r="D385" s="51">
        <v>70138.269999999538</v>
      </c>
      <c r="E385" s="52">
        <v>4.2142432617160636E-2</v>
      </c>
      <c r="F385" s="51">
        <v>70138.269999999538</v>
      </c>
      <c r="G385" s="52">
        <v>4.2142432617160636E-2</v>
      </c>
      <c r="H385" s="53">
        <v>4745</v>
      </c>
      <c r="I385" s="52">
        <v>-3.4587995930824011E-2</v>
      </c>
      <c r="J385" s="53">
        <v>4745</v>
      </c>
      <c r="K385" s="52">
        <v>-3.4587995930824011E-2</v>
      </c>
      <c r="L385" s="53">
        <v>2680</v>
      </c>
      <c r="M385" s="52">
        <v>-4.5244032775204848E-2</v>
      </c>
      <c r="N385" s="53">
        <v>2680</v>
      </c>
      <c r="O385" s="52">
        <v>-4.5244032775204848E-2</v>
      </c>
      <c r="P385" s="51">
        <f t="shared" si="10"/>
        <v>1.7705223880597014</v>
      </c>
      <c r="Q385" s="50">
        <f t="shared" si="11"/>
        <v>26.170996268656545</v>
      </c>
      <c r="R385" s="39" t="s">
        <v>54</v>
      </c>
    </row>
    <row r="386" spans="1:18" x14ac:dyDescent="0.35">
      <c r="A386" s="54">
        <v>1230031</v>
      </c>
      <c r="B386" s="54">
        <v>100956</v>
      </c>
      <c r="C386" s="54" t="s">
        <v>489</v>
      </c>
      <c r="D386" s="51">
        <v>70107.900000000445</v>
      </c>
      <c r="E386" s="52">
        <v>-2.2676099219111748E-2</v>
      </c>
      <c r="F386" s="51">
        <v>70107.900000000445</v>
      </c>
      <c r="G386" s="52">
        <v>-2.2676099219111748E-2</v>
      </c>
      <c r="H386" s="53">
        <v>4442</v>
      </c>
      <c r="I386" s="52">
        <v>-0.1310641627543036</v>
      </c>
      <c r="J386" s="53">
        <v>4442</v>
      </c>
      <c r="K386" s="52">
        <v>-0.1310641627543036</v>
      </c>
      <c r="L386" s="53">
        <v>3160</v>
      </c>
      <c r="M386" s="52">
        <v>-0.11977715877437325</v>
      </c>
      <c r="N386" s="53">
        <v>3160</v>
      </c>
      <c r="O386" s="52">
        <v>-0.11977715877437325</v>
      </c>
      <c r="P386" s="51">
        <f t="shared" si="10"/>
        <v>1.4056962025316455</v>
      </c>
      <c r="Q386" s="50">
        <f t="shared" si="11"/>
        <v>22.186044303797608</v>
      </c>
      <c r="R386" s="39" t="s">
        <v>51</v>
      </c>
    </row>
    <row r="387" spans="1:18" x14ac:dyDescent="0.35">
      <c r="A387" s="54">
        <v>1130011</v>
      </c>
      <c r="B387" s="54">
        <v>107437</v>
      </c>
      <c r="C387" s="54" t="s">
        <v>488</v>
      </c>
      <c r="D387" s="51">
        <v>69279.880000000441</v>
      </c>
      <c r="E387" s="52"/>
      <c r="F387" s="51"/>
      <c r="G387" s="52"/>
      <c r="H387" s="53">
        <v>4397</v>
      </c>
      <c r="I387" s="52" t="s">
        <v>52</v>
      </c>
      <c r="J387" s="53"/>
      <c r="K387" s="52"/>
      <c r="L387" s="53">
        <v>2804</v>
      </c>
      <c r="M387" s="52" t="s">
        <v>52</v>
      </c>
      <c r="N387" s="53"/>
      <c r="O387" s="52"/>
      <c r="P387" s="51">
        <f t="shared" si="10"/>
        <v>1.5681169757489302</v>
      </c>
      <c r="Q387" s="50">
        <f t="shared" si="11"/>
        <v>24.7075178316692</v>
      </c>
      <c r="R387" s="39" t="s">
        <v>54</v>
      </c>
    </row>
    <row r="388" spans="1:18" x14ac:dyDescent="0.35">
      <c r="A388" s="54">
        <v>1240120</v>
      </c>
      <c r="B388" s="54">
        <v>100674</v>
      </c>
      <c r="C388" s="54" t="s">
        <v>487</v>
      </c>
      <c r="D388" s="51">
        <v>69252.109999999637</v>
      </c>
      <c r="E388" s="52">
        <v>5.2230523996359531E-2</v>
      </c>
      <c r="F388" s="51">
        <v>69252.109999999637</v>
      </c>
      <c r="G388" s="52">
        <v>5.2230523996359531E-2</v>
      </c>
      <c r="H388" s="53">
        <v>4716</v>
      </c>
      <c r="I388" s="52">
        <v>-5.830670926517572E-2</v>
      </c>
      <c r="J388" s="53">
        <v>4716</v>
      </c>
      <c r="K388" s="52">
        <v>-5.830670926517572E-2</v>
      </c>
      <c r="L388" s="53">
        <v>3202</v>
      </c>
      <c r="M388" s="52">
        <v>-5.2662721893491124E-2</v>
      </c>
      <c r="N388" s="53">
        <v>3202</v>
      </c>
      <c r="O388" s="52">
        <v>-5.2662721893491124E-2</v>
      </c>
      <c r="P388" s="51">
        <f t="shared" si="10"/>
        <v>1.4728294815740162</v>
      </c>
      <c r="Q388" s="50">
        <f t="shared" si="11"/>
        <v>21.627767020612005</v>
      </c>
      <c r="R388" s="39" t="s">
        <v>51</v>
      </c>
    </row>
    <row r="389" spans="1:18" x14ac:dyDescent="0.35">
      <c r="A389" s="54">
        <v>1260029</v>
      </c>
      <c r="B389" s="54">
        <v>106543</v>
      </c>
      <c r="C389" s="54" t="s">
        <v>486</v>
      </c>
      <c r="D389" s="51">
        <v>69074.260000000213</v>
      </c>
      <c r="E389" s="52"/>
      <c r="F389" s="51"/>
      <c r="G389" s="52"/>
      <c r="H389" s="53">
        <v>4297</v>
      </c>
      <c r="I389" s="52" t="s">
        <v>52</v>
      </c>
      <c r="J389" s="53"/>
      <c r="K389" s="52"/>
      <c r="L389" s="53">
        <v>2987</v>
      </c>
      <c r="M389" s="52" t="s">
        <v>52</v>
      </c>
      <c r="N389" s="53"/>
      <c r="O389" s="52"/>
      <c r="P389" s="51">
        <f t="shared" ref="P389:P452" si="12">H389/L389</f>
        <v>1.4385671242048879</v>
      </c>
      <c r="Q389" s="50">
        <f t="shared" ref="Q389:Q452" si="13">D389/L389</f>
        <v>23.124961499832679</v>
      </c>
      <c r="R389" s="39" t="s">
        <v>51</v>
      </c>
    </row>
    <row r="390" spans="1:18" x14ac:dyDescent="0.35">
      <c r="A390" s="54">
        <v>1240337</v>
      </c>
      <c r="B390" s="54">
        <v>105930</v>
      </c>
      <c r="C390" s="54" t="s">
        <v>485</v>
      </c>
      <c r="D390" s="51">
        <v>68973.080000000424</v>
      </c>
      <c r="E390" s="52">
        <v>0.14283697562870079</v>
      </c>
      <c r="F390" s="51">
        <v>68973.080000000424</v>
      </c>
      <c r="G390" s="52">
        <v>0.14283697562870079</v>
      </c>
      <c r="H390" s="53">
        <v>4422</v>
      </c>
      <c r="I390" s="52">
        <v>7.3822243807673632E-2</v>
      </c>
      <c r="J390" s="53">
        <v>4422</v>
      </c>
      <c r="K390" s="52">
        <v>7.3822243807673632E-2</v>
      </c>
      <c r="L390" s="53">
        <v>2898</v>
      </c>
      <c r="M390" s="52">
        <v>7.7724060989215318E-2</v>
      </c>
      <c r="N390" s="53">
        <v>2898</v>
      </c>
      <c r="O390" s="52">
        <v>7.7724060989215318E-2</v>
      </c>
      <c r="P390" s="51">
        <f t="shared" si="12"/>
        <v>1.525879917184265</v>
      </c>
      <c r="Q390" s="50">
        <f t="shared" si="13"/>
        <v>23.800234644582616</v>
      </c>
      <c r="R390" s="39" t="s">
        <v>54</v>
      </c>
    </row>
    <row r="391" spans="1:18" x14ac:dyDescent="0.35">
      <c r="A391" s="54">
        <v>1090003</v>
      </c>
      <c r="B391" s="54">
        <v>105487</v>
      </c>
      <c r="C391" s="54" t="s">
        <v>484</v>
      </c>
      <c r="D391" s="51">
        <v>68912.850000000006</v>
      </c>
      <c r="E391" s="52">
        <v>2.4364172787678134E-2</v>
      </c>
      <c r="F391" s="51">
        <v>68912.850000000006</v>
      </c>
      <c r="G391" s="52">
        <v>2.4364172787678134E-2</v>
      </c>
      <c r="H391" s="53">
        <v>4654</v>
      </c>
      <c r="I391" s="52">
        <v>2.2857142857142857E-2</v>
      </c>
      <c r="J391" s="53">
        <v>4654</v>
      </c>
      <c r="K391" s="52">
        <v>2.2857142857142857E-2</v>
      </c>
      <c r="L391" s="53">
        <v>2973</v>
      </c>
      <c r="M391" s="52">
        <v>-1.751487111698612E-2</v>
      </c>
      <c r="N391" s="53">
        <v>2973</v>
      </c>
      <c r="O391" s="52">
        <v>-1.751487111698612E-2</v>
      </c>
      <c r="P391" s="51">
        <f t="shared" si="12"/>
        <v>1.565422132526068</v>
      </c>
      <c r="Q391" s="50">
        <f t="shared" si="13"/>
        <v>23.179566094853683</v>
      </c>
      <c r="R391" s="39" t="s">
        <v>54</v>
      </c>
    </row>
    <row r="392" spans="1:18" x14ac:dyDescent="0.35">
      <c r="A392" s="54">
        <v>1270011</v>
      </c>
      <c r="B392" s="54">
        <v>103481</v>
      </c>
      <c r="C392" s="54" t="s">
        <v>483</v>
      </c>
      <c r="D392" s="51">
        <v>68837.100000000093</v>
      </c>
      <c r="E392" s="52">
        <v>3.0008413685801233E-2</v>
      </c>
      <c r="F392" s="51">
        <v>68837.100000000093</v>
      </c>
      <c r="G392" s="52">
        <v>3.0008413685801233E-2</v>
      </c>
      <c r="H392" s="53">
        <v>4464.99</v>
      </c>
      <c r="I392" s="52">
        <v>-4.5126176218990635E-2</v>
      </c>
      <c r="J392" s="53">
        <v>4464.99</v>
      </c>
      <c r="K392" s="52">
        <v>-4.5126176218990635E-2</v>
      </c>
      <c r="L392" s="53">
        <v>2765</v>
      </c>
      <c r="M392" s="52">
        <v>-9.0759618546530751E-2</v>
      </c>
      <c r="N392" s="53">
        <v>2765</v>
      </c>
      <c r="O392" s="52">
        <v>-9.0759618546530751E-2</v>
      </c>
      <c r="P392" s="51">
        <f t="shared" si="12"/>
        <v>1.6148245931283904</v>
      </c>
      <c r="Q392" s="50">
        <f t="shared" si="13"/>
        <v>24.89587703435808</v>
      </c>
      <c r="R392" s="39" t="s">
        <v>54</v>
      </c>
    </row>
    <row r="393" spans="1:18" x14ac:dyDescent="0.35">
      <c r="A393" s="54">
        <v>1250031</v>
      </c>
      <c r="B393" s="54">
        <v>101086</v>
      </c>
      <c r="C393" s="54" t="s">
        <v>482</v>
      </c>
      <c r="D393" s="51">
        <v>68730.019999999975</v>
      </c>
      <c r="E393" s="52">
        <v>0.18702770628594564</v>
      </c>
      <c r="F393" s="51">
        <v>68730.019999999975</v>
      </c>
      <c r="G393" s="52">
        <v>0.18702770628594564</v>
      </c>
      <c r="H393" s="53">
        <v>3802</v>
      </c>
      <c r="I393" s="52">
        <v>0.17092700954727441</v>
      </c>
      <c r="J393" s="53">
        <v>3802</v>
      </c>
      <c r="K393" s="52">
        <v>0.17092700954727441</v>
      </c>
      <c r="L393" s="53">
        <v>2610</v>
      </c>
      <c r="M393" s="52">
        <v>0.14473684210526316</v>
      </c>
      <c r="N393" s="53">
        <v>2610</v>
      </c>
      <c r="O393" s="52">
        <v>0.14473684210526316</v>
      </c>
      <c r="P393" s="51">
        <f t="shared" si="12"/>
        <v>1.4567049808429118</v>
      </c>
      <c r="Q393" s="50">
        <f t="shared" si="13"/>
        <v>26.333340996168573</v>
      </c>
      <c r="R393" s="39" t="s">
        <v>51</v>
      </c>
    </row>
    <row r="394" spans="1:18" x14ac:dyDescent="0.35">
      <c r="A394" s="54">
        <v>1240333</v>
      </c>
      <c r="B394" s="54">
        <v>105832</v>
      </c>
      <c r="C394" s="54" t="s">
        <v>481</v>
      </c>
      <c r="D394" s="51">
        <v>68387.00000000032</v>
      </c>
      <c r="E394" s="52">
        <v>1.6679992067210783E-2</v>
      </c>
      <c r="F394" s="51">
        <v>68387.00000000032</v>
      </c>
      <c r="G394" s="52">
        <v>1.6679992067210783E-2</v>
      </c>
      <c r="H394" s="53">
        <v>4570</v>
      </c>
      <c r="I394" s="52">
        <v>-2.910558742298704E-2</v>
      </c>
      <c r="J394" s="53">
        <v>4570</v>
      </c>
      <c r="K394" s="52">
        <v>-2.910558742298704E-2</v>
      </c>
      <c r="L394" s="53">
        <v>3211</v>
      </c>
      <c r="M394" s="52">
        <v>-1.1391625615763547E-2</v>
      </c>
      <c r="N394" s="53">
        <v>3211</v>
      </c>
      <c r="O394" s="52">
        <v>-1.1391625615763547E-2</v>
      </c>
      <c r="P394" s="51">
        <f t="shared" si="12"/>
        <v>1.4232326378075366</v>
      </c>
      <c r="Q394" s="50">
        <f t="shared" si="13"/>
        <v>21.297726564933143</v>
      </c>
      <c r="R394" s="39" t="s">
        <v>51</v>
      </c>
    </row>
    <row r="395" spans="1:18" x14ac:dyDescent="0.35">
      <c r="A395" s="54">
        <v>1240071</v>
      </c>
      <c r="B395" s="54">
        <v>103326</v>
      </c>
      <c r="C395" s="54" t="s">
        <v>480</v>
      </c>
      <c r="D395" s="51">
        <v>68216.829999999565</v>
      </c>
      <c r="E395" s="52">
        <v>0.16298405366000984</v>
      </c>
      <c r="F395" s="51">
        <v>68216.829999999565</v>
      </c>
      <c r="G395" s="52">
        <v>0.16298405366000984</v>
      </c>
      <c r="H395" s="53">
        <v>4873</v>
      </c>
      <c r="I395" s="52">
        <v>4.8633527006670972E-2</v>
      </c>
      <c r="J395" s="53">
        <v>4873</v>
      </c>
      <c r="K395" s="52">
        <v>4.8633527006670972E-2</v>
      </c>
      <c r="L395" s="53">
        <v>3118</v>
      </c>
      <c r="M395" s="52">
        <v>5.0539083557951482E-2</v>
      </c>
      <c r="N395" s="53">
        <v>3118</v>
      </c>
      <c r="O395" s="52">
        <v>5.0539083557951482E-2</v>
      </c>
      <c r="P395" s="51">
        <f t="shared" si="12"/>
        <v>1.5628608082103912</v>
      </c>
      <c r="Q395" s="50">
        <f t="shared" si="13"/>
        <v>21.878393200769583</v>
      </c>
      <c r="R395" s="39" t="s">
        <v>54</v>
      </c>
    </row>
    <row r="396" spans="1:18" x14ac:dyDescent="0.35">
      <c r="A396" s="54">
        <v>1230095</v>
      </c>
      <c r="B396" s="54">
        <v>105034</v>
      </c>
      <c r="C396" s="54" t="s">
        <v>479</v>
      </c>
      <c r="D396" s="51">
        <v>68168.709999999774</v>
      </c>
      <c r="E396" s="52">
        <v>0.27837312548922777</v>
      </c>
      <c r="F396" s="51">
        <v>68168.709999999774</v>
      </c>
      <c r="G396" s="52">
        <v>0.27837312548922777</v>
      </c>
      <c r="H396" s="53">
        <v>4798</v>
      </c>
      <c r="I396" s="52">
        <v>0.20100125156445556</v>
      </c>
      <c r="J396" s="53">
        <v>4798</v>
      </c>
      <c r="K396" s="52">
        <v>0.20100125156445556</v>
      </c>
      <c r="L396" s="53">
        <v>3133</v>
      </c>
      <c r="M396" s="52">
        <v>0.24473579658323402</v>
      </c>
      <c r="N396" s="53">
        <v>3133</v>
      </c>
      <c r="O396" s="52">
        <v>0.24473579658323402</v>
      </c>
      <c r="P396" s="51">
        <f t="shared" si="12"/>
        <v>1.5314395148420046</v>
      </c>
      <c r="Q396" s="50">
        <f t="shared" si="13"/>
        <v>21.758285987870977</v>
      </c>
      <c r="R396" s="39" t="s">
        <v>54</v>
      </c>
    </row>
    <row r="397" spans="1:18" x14ac:dyDescent="0.35">
      <c r="A397" s="54">
        <v>1240116</v>
      </c>
      <c r="B397" s="54">
        <v>100672</v>
      </c>
      <c r="C397" s="54" t="s">
        <v>478</v>
      </c>
      <c r="D397" s="51">
        <v>68124.310000000914</v>
      </c>
      <c r="E397" s="52">
        <v>-6.3845619605108733E-2</v>
      </c>
      <c r="F397" s="51">
        <v>68124.310000000914</v>
      </c>
      <c r="G397" s="52">
        <v>-6.3845619605108733E-2</v>
      </c>
      <c r="H397" s="53">
        <v>4679</v>
      </c>
      <c r="I397" s="52">
        <v>-0.14507582678604056</v>
      </c>
      <c r="J397" s="53">
        <v>4679</v>
      </c>
      <c r="K397" s="52">
        <v>-0.14507582678604056</v>
      </c>
      <c r="L397" s="53">
        <v>3119</v>
      </c>
      <c r="M397" s="52">
        <v>-0.13648947951273532</v>
      </c>
      <c r="N397" s="53">
        <v>3119</v>
      </c>
      <c r="O397" s="52">
        <v>-0.13648947951273532</v>
      </c>
      <c r="P397" s="51">
        <f t="shared" si="12"/>
        <v>1.5001603077909587</v>
      </c>
      <c r="Q397" s="50">
        <f t="shared" si="13"/>
        <v>21.841715293363549</v>
      </c>
      <c r="R397" s="39" t="s">
        <v>54</v>
      </c>
    </row>
    <row r="398" spans="1:18" x14ac:dyDescent="0.35">
      <c r="A398" s="54">
        <v>1230040</v>
      </c>
      <c r="B398" s="54">
        <v>105604</v>
      </c>
      <c r="C398" s="54" t="s">
        <v>477</v>
      </c>
      <c r="D398" s="51">
        <v>67932.179999999906</v>
      </c>
      <c r="E398" s="52">
        <v>0.21697155964421311</v>
      </c>
      <c r="F398" s="51">
        <v>67932.179999999906</v>
      </c>
      <c r="G398" s="52">
        <v>0.21697155964421311</v>
      </c>
      <c r="H398" s="53">
        <v>4538</v>
      </c>
      <c r="I398" s="52">
        <v>9.0865384615384612E-2</v>
      </c>
      <c r="J398" s="53">
        <v>4538</v>
      </c>
      <c r="K398" s="52">
        <v>9.0865384615384612E-2</v>
      </c>
      <c r="L398" s="53">
        <v>2913</v>
      </c>
      <c r="M398" s="52">
        <v>4.7464940668824167E-2</v>
      </c>
      <c r="N398" s="53">
        <v>2913</v>
      </c>
      <c r="O398" s="52">
        <v>4.7464940668824167E-2</v>
      </c>
      <c r="P398" s="51">
        <f t="shared" si="12"/>
        <v>1.5578441469275661</v>
      </c>
      <c r="Q398" s="50">
        <f t="shared" si="13"/>
        <v>23.320350154479886</v>
      </c>
      <c r="R398" s="39" t="s">
        <v>54</v>
      </c>
    </row>
    <row r="399" spans="1:18" x14ac:dyDescent="0.35">
      <c r="A399" s="54">
        <v>1240381</v>
      </c>
      <c r="B399" s="54">
        <v>106889</v>
      </c>
      <c r="C399" s="54" t="s">
        <v>476</v>
      </c>
      <c r="D399" s="51">
        <v>67506.430000000692</v>
      </c>
      <c r="E399" s="52">
        <v>0.22174915372522333</v>
      </c>
      <c r="F399" s="51">
        <v>67506.430000000692</v>
      </c>
      <c r="G399" s="52">
        <v>0.22174915372522333</v>
      </c>
      <c r="H399" s="53">
        <v>4230</v>
      </c>
      <c r="I399" s="52">
        <v>0.13832077502691065</v>
      </c>
      <c r="J399" s="53">
        <v>4230</v>
      </c>
      <c r="K399" s="52">
        <v>0.13832077502691065</v>
      </c>
      <c r="L399" s="53">
        <v>2654</v>
      </c>
      <c r="M399" s="52">
        <v>0.14891774891774892</v>
      </c>
      <c r="N399" s="53">
        <v>2654</v>
      </c>
      <c r="O399" s="52">
        <v>0.14891774891774892</v>
      </c>
      <c r="P399" s="51">
        <f t="shared" si="12"/>
        <v>1.5938206480783723</v>
      </c>
      <c r="Q399" s="50">
        <f t="shared" si="13"/>
        <v>25.43573097211782</v>
      </c>
      <c r="R399" s="39" t="s">
        <v>54</v>
      </c>
    </row>
    <row r="400" spans="1:18" x14ac:dyDescent="0.35">
      <c r="A400" s="54">
        <v>1240100</v>
      </c>
      <c r="B400" s="54">
        <v>100349</v>
      </c>
      <c r="C400" s="54" t="s">
        <v>475</v>
      </c>
      <c r="D400" s="51">
        <v>67050.909999999465</v>
      </c>
      <c r="E400" s="52">
        <v>0.18195329012196221</v>
      </c>
      <c r="F400" s="51">
        <v>67050.909999999465</v>
      </c>
      <c r="G400" s="52">
        <v>0.18195329012196221</v>
      </c>
      <c r="H400" s="53">
        <v>4740</v>
      </c>
      <c r="I400" s="52">
        <v>0.13099498926270581</v>
      </c>
      <c r="J400" s="53">
        <v>4740</v>
      </c>
      <c r="K400" s="52">
        <v>0.13099498926270581</v>
      </c>
      <c r="L400" s="53">
        <v>3000</v>
      </c>
      <c r="M400" s="52">
        <v>0.13550340651021953</v>
      </c>
      <c r="N400" s="53">
        <v>3000</v>
      </c>
      <c r="O400" s="52">
        <v>0.13550340651021953</v>
      </c>
      <c r="P400" s="51">
        <f t="shared" si="12"/>
        <v>1.58</v>
      </c>
      <c r="Q400" s="50">
        <f t="shared" si="13"/>
        <v>22.350303333333155</v>
      </c>
      <c r="R400" s="39" t="s">
        <v>54</v>
      </c>
    </row>
    <row r="401" spans="1:18" x14ac:dyDescent="0.35">
      <c r="A401" s="54">
        <v>1210026</v>
      </c>
      <c r="B401" s="54">
        <v>103459</v>
      </c>
      <c r="C401" s="54" t="s">
        <v>474</v>
      </c>
      <c r="D401" s="51">
        <v>67046.530000000552</v>
      </c>
      <c r="E401" s="52">
        <v>0.14159236283710858</v>
      </c>
      <c r="F401" s="51">
        <v>67046.530000000552</v>
      </c>
      <c r="G401" s="52">
        <v>0.14159236283710858</v>
      </c>
      <c r="H401" s="53">
        <v>3752</v>
      </c>
      <c r="I401" s="52">
        <v>1.1866235167206042E-2</v>
      </c>
      <c r="J401" s="53">
        <v>3752</v>
      </c>
      <c r="K401" s="52">
        <v>1.1866235167206042E-2</v>
      </c>
      <c r="L401" s="53">
        <v>2469</v>
      </c>
      <c r="M401" s="52">
        <v>2.36318407960199E-2</v>
      </c>
      <c r="N401" s="53">
        <v>2469</v>
      </c>
      <c r="O401" s="52">
        <v>2.36318407960199E-2</v>
      </c>
      <c r="P401" s="51">
        <f t="shared" si="12"/>
        <v>1.5196435803969219</v>
      </c>
      <c r="Q401" s="50">
        <f t="shared" si="13"/>
        <v>27.155338193600873</v>
      </c>
      <c r="R401" s="39" t="s">
        <v>54</v>
      </c>
    </row>
    <row r="402" spans="1:18" x14ac:dyDescent="0.35">
      <c r="A402" s="54">
        <v>1210022</v>
      </c>
      <c r="B402" s="54">
        <v>104219</v>
      </c>
      <c r="C402" s="54" t="s">
        <v>473</v>
      </c>
      <c r="D402" s="51">
        <v>66716.790000000532</v>
      </c>
      <c r="E402" s="52">
        <v>5.5502617921161318E-2</v>
      </c>
      <c r="F402" s="51">
        <v>66716.790000000532</v>
      </c>
      <c r="G402" s="52">
        <v>5.5502617921161318E-2</v>
      </c>
      <c r="H402" s="53">
        <v>3883</v>
      </c>
      <c r="I402" s="52">
        <v>1.2893243940175349E-3</v>
      </c>
      <c r="J402" s="53">
        <v>3883</v>
      </c>
      <c r="K402" s="52">
        <v>1.2893243940175349E-3</v>
      </c>
      <c r="L402" s="53">
        <v>2644</v>
      </c>
      <c r="M402" s="52">
        <v>-1.9287833827893175E-2</v>
      </c>
      <c r="N402" s="53">
        <v>2644</v>
      </c>
      <c r="O402" s="52">
        <v>-1.9287833827893175E-2</v>
      </c>
      <c r="P402" s="51">
        <f t="shared" si="12"/>
        <v>1.468608169440242</v>
      </c>
      <c r="Q402" s="50">
        <f t="shared" si="13"/>
        <v>25.233279122541806</v>
      </c>
      <c r="R402" s="39" t="s">
        <v>51</v>
      </c>
    </row>
    <row r="403" spans="1:18" x14ac:dyDescent="0.35">
      <c r="A403" s="54">
        <v>1230090</v>
      </c>
      <c r="B403" s="54">
        <v>104543</v>
      </c>
      <c r="C403" s="54" t="s">
        <v>472</v>
      </c>
      <c r="D403" s="51">
        <v>66469.579999999914</v>
      </c>
      <c r="E403" s="52">
        <v>0.10160903553826379</v>
      </c>
      <c r="F403" s="51">
        <v>66469.579999999914</v>
      </c>
      <c r="G403" s="52">
        <v>0.10160903553826379</v>
      </c>
      <c r="H403" s="53">
        <v>4141</v>
      </c>
      <c r="I403" s="52">
        <v>7.6143451143451141E-2</v>
      </c>
      <c r="J403" s="53">
        <v>4141</v>
      </c>
      <c r="K403" s="52">
        <v>7.6143451143451141E-2</v>
      </c>
      <c r="L403" s="53">
        <v>3034</v>
      </c>
      <c r="M403" s="52">
        <v>8.5898353614889053E-2</v>
      </c>
      <c r="N403" s="53">
        <v>3034</v>
      </c>
      <c r="O403" s="52">
        <v>8.5898353614889053E-2</v>
      </c>
      <c r="P403" s="51">
        <f t="shared" si="12"/>
        <v>1.3648648648648649</v>
      </c>
      <c r="Q403" s="50">
        <f t="shared" si="13"/>
        <v>21.908233355306496</v>
      </c>
      <c r="R403" s="39" t="s">
        <v>51</v>
      </c>
    </row>
    <row r="404" spans="1:18" x14ac:dyDescent="0.35">
      <c r="A404" s="54">
        <v>1240098</v>
      </c>
      <c r="B404" s="54">
        <v>102240</v>
      </c>
      <c r="C404" s="54" t="s">
        <v>471</v>
      </c>
      <c r="D404" s="51">
        <v>66137.290000000357</v>
      </c>
      <c r="E404" s="52">
        <v>0.54907204112542485</v>
      </c>
      <c r="F404" s="51">
        <v>66137.290000000357</v>
      </c>
      <c r="G404" s="52">
        <v>0.54907204112542485</v>
      </c>
      <c r="H404" s="53">
        <v>4249</v>
      </c>
      <c r="I404" s="52">
        <v>0.44513978640908791</v>
      </c>
      <c r="J404" s="53">
        <v>4249</v>
      </c>
      <c r="K404" s="52">
        <v>0.44513978640908791</v>
      </c>
      <c r="L404" s="53">
        <v>3052</v>
      </c>
      <c r="M404" s="52">
        <v>0.45333333333333331</v>
      </c>
      <c r="N404" s="53">
        <v>3052</v>
      </c>
      <c r="O404" s="52">
        <v>0.45333333333333331</v>
      </c>
      <c r="P404" s="51">
        <f t="shared" si="12"/>
        <v>1.3922018348623852</v>
      </c>
      <c r="Q404" s="50">
        <f t="shared" si="13"/>
        <v>21.670147444298937</v>
      </c>
      <c r="R404" s="39" t="s">
        <v>51</v>
      </c>
    </row>
    <row r="405" spans="1:18" x14ac:dyDescent="0.35">
      <c r="A405" s="54">
        <v>1240205</v>
      </c>
      <c r="B405" s="54">
        <v>100075</v>
      </c>
      <c r="C405" s="54" t="s">
        <v>470</v>
      </c>
      <c r="D405" s="51">
        <v>65680.869999999821</v>
      </c>
      <c r="E405" s="52">
        <v>-0.15838620899269992</v>
      </c>
      <c r="F405" s="51">
        <v>65680.869999999821</v>
      </c>
      <c r="G405" s="52">
        <v>8.2506397630260145E-2</v>
      </c>
      <c r="H405" s="53">
        <v>4401</v>
      </c>
      <c r="I405" s="52">
        <v>-0.26893687707641195</v>
      </c>
      <c r="J405" s="53">
        <v>4401</v>
      </c>
      <c r="K405" s="52">
        <v>-3.9082969432314409E-2</v>
      </c>
      <c r="L405" s="53">
        <v>3093</v>
      </c>
      <c r="M405" s="52">
        <v>-0.2563116133685982</v>
      </c>
      <c r="N405" s="53">
        <v>3093</v>
      </c>
      <c r="O405" s="52">
        <v>-1.9651347068145801E-2</v>
      </c>
      <c r="P405" s="51">
        <f t="shared" si="12"/>
        <v>1.422890397672163</v>
      </c>
      <c r="Q405" s="50">
        <f t="shared" si="13"/>
        <v>21.235328160362052</v>
      </c>
      <c r="R405" s="39" t="s">
        <v>51</v>
      </c>
    </row>
    <row r="406" spans="1:18" x14ac:dyDescent="0.35">
      <c r="A406" s="54">
        <v>1240112</v>
      </c>
      <c r="B406" s="54">
        <v>100667</v>
      </c>
      <c r="C406" s="54" t="s">
        <v>469</v>
      </c>
      <c r="D406" s="51">
        <v>65465.10999999944</v>
      </c>
      <c r="E406" s="52">
        <v>-1.6099775866803931E-2</v>
      </c>
      <c r="F406" s="51">
        <v>65465.10999999944</v>
      </c>
      <c r="G406" s="52">
        <v>-1.6099775866803931E-2</v>
      </c>
      <c r="H406" s="53">
        <v>4585</v>
      </c>
      <c r="I406" s="52">
        <v>-0.10027472527472528</v>
      </c>
      <c r="J406" s="53">
        <v>4585</v>
      </c>
      <c r="K406" s="52">
        <v>-0.10027472527472528</v>
      </c>
      <c r="L406" s="53">
        <v>2933</v>
      </c>
      <c r="M406" s="52">
        <v>-3.8675843985578502E-2</v>
      </c>
      <c r="N406" s="53">
        <v>2933</v>
      </c>
      <c r="O406" s="52">
        <v>-3.8675843985578502E-2</v>
      </c>
      <c r="P406" s="51">
        <f t="shared" si="12"/>
        <v>1.5632458233890214</v>
      </c>
      <c r="Q406" s="50">
        <f t="shared" si="13"/>
        <v>22.320187521309048</v>
      </c>
      <c r="R406" s="39" t="s">
        <v>54</v>
      </c>
    </row>
    <row r="407" spans="1:18" x14ac:dyDescent="0.35">
      <c r="A407" s="54">
        <v>1070004</v>
      </c>
      <c r="B407" s="54">
        <v>106842</v>
      </c>
      <c r="C407" s="54" t="s">
        <v>468</v>
      </c>
      <c r="D407" s="51">
        <v>65456.270000001088</v>
      </c>
      <c r="E407" s="52">
        <v>0.21854804314719625</v>
      </c>
      <c r="F407" s="51">
        <v>65456.270000001088</v>
      </c>
      <c r="G407" s="52">
        <v>0.21854804314719625</v>
      </c>
      <c r="H407" s="53">
        <v>3246</v>
      </c>
      <c r="I407" s="52">
        <v>0.10709413369713507</v>
      </c>
      <c r="J407" s="53">
        <v>3246</v>
      </c>
      <c r="K407" s="52">
        <v>0.10709413369713507</v>
      </c>
      <c r="L407" s="53">
        <v>2227</v>
      </c>
      <c r="M407" s="52">
        <v>8.317120622568093E-2</v>
      </c>
      <c r="N407" s="53">
        <v>2227</v>
      </c>
      <c r="O407" s="52">
        <v>8.317120622568093E-2</v>
      </c>
      <c r="P407" s="51">
        <f t="shared" si="12"/>
        <v>1.4575662325999101</v>
      </c>
      <c r="Q407" s="50">
        <f t="shared" si="13"/>
        <v>29.39212842388913</v>
      </c>
      <c r="R407" s="39" t="s">
        <v>51</v>
      </c>
    </row>
    <row r="408" spans="1:18" x14ac:dyDescent="0.35">
      <c r="A408" s="54">
        <v>1230105</v>
      </c>
      <c r="B408" s="54">
        <v>106005</v>
      </c>
      <c r="C408" s="54" t="s">
        <v>467</v>
      </c>
      <c r="D408" s="51">
        <v>65400.779999999853</v>
      </c>
      <c r="E408" s="52">
        <v>-9.7240404497734037E-2</v>
      </c>
      <c r="F408" s="51">
        <v>65400.779999999853</v>
      </c>
      <c r="G408" s="52">
        <v>-9.7240404497734037E-2</v>
      </c>
      <c r="H408" s="53">
        <v>4573</v>
      </c>
      <c r="I408" s="52">
        <v>-0.1562730627306273</v>
      </c>
      <c r="J408" s="53">
        <v>4573</v>
      </c>
      <c r="K408" s="52">
        <v>-0.1562730627306273</v>
      </c>
      <c r="L408" s="53">
        <v>3043</v>
      </c>
      <c r="M408" s="52">
        <v>-0.18461950696677384</v>
      </c>
      <c r="N408" s="53">
        <v>3043</v>
      </c>
      <c r="O408" s="52">
        <v>-0.18461950696677384</v>
      </c>
      <c r="P408" s="51">
        <f t="shared" si="12"/>
        <v>1.5027932960893855</v>
      </c>
      <c r="Q408" s="50">
        <f t="shared" si="13"/>
        <v>21.492205060795218</v>
      </c>
      <c r="R408" s="39" t="s">
        <v>54</v>
      </c>
    </row>
    <row r="409" spans="1:18" x14ac:dyDescent="0.35">
      <c r="A409" s="54">
        <v>1240259</v>
      </c>
      <c r="B409" s="54">
        <v>104695</v>
      </c>
      <c r="C409" s="54" t="s">
        <v>466</v>
      </c>
      <c r="D409" s="51">
        <v>65274.55000000076</v>
      </c>
      <c r="E409" s="52">
        <v>-4.6913218641873963E-2</v>
      </c>
      <c r="F409" s="51">
        <v>65274.55000000076</v>
      </c>
      <c r="G409" s="52">
        <v>-4.6913218641873963E-2</v>
      </c>
      <c r="H409" s="53">
        <v>4140</v>
      </c>
      <c r="I409" s="52">
        <v>-0.1094859109485911</v>
      </c>
      <c r="J409" s="53">
        <v>4140</v>
      </c>
      <c r="K409" s="52">
        <v>-0.1094859109485911</v>
      </c>
      <c r="L409" s="53">
        <v>2851</v>
      </c>
      <c r="M409" s="52">
        <v>-9.4057832856688908E-2</v>
      </c>
      <c r="N409" s="53">
        <v>2851</v>
      </c>
      <c r="O409" s="52">
        <v>-9.4057832856688908E-2</v>
      </c>
      <c r="P409" s="51">
        <f t="shared" si="12"/>
        <v>1.4521220624342337</v>
      </c>
      <c r="Q409" s="50">
        <f t="shared" si="13"/>
        <v>22.895317432480098</v>
      </c>
      <c r="R409" s="39" t="s">
        <v>51</v>
      </c>
    </row>
    <row r="410" spans="1:18" x14ac:dyDescent="0.35">
      <c r="A410" s="54">
        <v>1240225</v>
      </c>
      <c r="B410" s="54">
        <v>105748</v>
      </c>
      <c r="C410" s="54" t="s">
        <v>465</v>
      </c>
      <c r="D410" s="51">
        <v>65105.800000001007</v>
      </c>
      <c r="E410" s="52">
        <v>-4.9818912494209958E-2</v>
      </c>
      <c r="F410" s="51">
        <v>65105.800000001007</v>
      </c>
      <c r="G410" s="52">
        <v>-4.9818912494209958E-2</v>
      </c>
      <c r="H410" s="53">
        <v>3805</v>
      </c>
      <c r="I410" s="52">
        <v>-0.1439820022497188</v>
      </c>
      <c r="J410" s="53">
        <v>3805</v>
      </c>
      <c r="K410" s="52">
        <v>-0.1439820022497188</v>
      </c>
      <c r="L410" s="53">
        <v>2972</v>
      </c>
      <c r="M410" s="52">
        <v>-0.12588235294117647</v>
      </c>
      <c r="N410" s="53">
        <v>2972</v>
      </c>
      <c r="O410" s="52">
        <v>-0.12588235294117647</v>
      </c>
      <c r="P410" s="51">
        <f t="shared" si="12"/>
        <v>1.2802826379542396</v>
      </c>
      <c r="Q410" s="50">
        <f t="shared" si="13"/>
        <v>21.906393001346235</v>
      </c>
      <c r="R410" s="39" t="s">
        <v>51</v>
      </c>
    </row>
    <row r="411" spans="1:18" x14ac:dyDescent="0.35">
      <c r="A411" s="54">
        <v>1230080</v>
      </c>
      <c r="B411" s="54">
        <v>104116</v>
      </c>
      <c r="C411" s="54" t="s">
        <v>464</v>
      </c>
      <c r="D411" s="51">
        <v>64901.72000000046</v>
      </c>
      <c r="E411" s="52">
        <v>0.37327329741900972</v>
      </c>
      <c r="F411" s="51">
        <v>64901.72000000046</v>
      </c>
      <c r="G411" s="52">
        <v>0.37327329741900972</v>
      </c>
      <c r="H411" s="53">
        <v>4409</v>
      </c>
      <c r="I411" s="52">
        <v>0.29448032883147385</v>
      </c>
      <c r="J411" s="53">
        <v>4409</v>
      </c>
      <c r="K411" s="52">
        <v>0.29448032883147385</v>
      </c>
      <c r="L411" s="53">
        <v>3527</v>
      </c>
      <c r="M411" s="52">
        <v>0.25650160313501957</v>
      </c>
      <c r="N411" s="53">
        <v>3527</v>
      </c>
      <c r="O411" s="52">
        <v>0.25650160313501957</v>
      </c>
      <c r="P411" s="51">
        <f t="shared" si="12"/>
        <v>1.250070881769209</v>
      </c>
      <c r="Q411" s="50">
        <f t="shared" si="13"/>
        <v>18.401394953218162</v>
      </c>
      <c r="R411" s="39" t="s">
        <v>51</v>
      </c>
    </row>
    <row r="412" spans="1:18" x14ac:dyDescent="0.35">
      <c r="A412" s="54">
        <v>1210025</v>
      </c>
      <c r="B412" s="54">
        <v>103096</v>
      </c>
      <c r="C412" s="54" t="s">
        <v>463</v>
      </c>
      <c r="D412" s="51">
        <v>64767.580000000671</v>
      </c>
      <c r="E412" s="52">
        <v>0.12699558929265595</v>
      </c>
      <c r="F412" s="51">
        <v>64767.580000000671</v>
      </c>
      <c r="G412" s="52">
        <v>0.12699558929265595</v>
      </c>
      <c r="H412" s="53">
        <v>3887</v>
      </c>
      <c r="I412" s="52">
        <v>2.1013921723141583E-2</v>
      </c>
      <c r="J412" s="53">
        <v>3887</v>
      </c>
      <c r="K412" s="52">
        <v>2.1013921723141583E-2</v>
      </c>
      <c r="L412" s="53">
        <v>3029</v>
      </c>
      <c r="M412" s="52">
        <v>4.7372060857538034E-2</v>
      </c>
      <c r="N412" s="53">
        <v>3029</v>
      </c>
      <c r="O412" s="52">
        <v>4.7372060857538034E-2</v>
      </c>
      <c r="P412" s="51">
        <f t="shared" si="12"/>
        <v>1.2832618025751072</v>
      </c>
      <c r="Q412" s="50">
        <f t="shared" si="13"/>
        <v>21.382495873225707</v>
      </c>
      <c r="R412" s="39" t="s">
        <v>51</v>
      </c>
    </row>
    <row r="413" spans="1:18" x14ac:dyDescent="0.35">
      <c r="A413" s="54">
        <v>1240222</v>
      </c>
      <c r="B413" s="54">
        <v>103452</v>
      </c>
      <c r="C413" s="54" t="s">
        <v>462</v>
      </c>
      <c r="D413" s="51">
        <v>64629.680000000706</v>
      </c>
      <c r="E413" s="52">
        <v>0.42620505324410018</v>
      </c>
      <c r="F413" s="51">
        <v>64629.680000000706</v>
      </c>
      <c r="G413" s="52">
        <v>0.42620505324410018</v>
      </c>
      <c r="H413" s="53">
        <v>3701</v>
      </c>
      <c r="I413" s="52">
        <v>0.28462339465463382</v>
      </c>
      <c r="J413" s="53">
        <v>3701</v>
      </c>
      <c r="K413" s="52">
        <v>0.28462339465463382</v>
      </c>
      <c r="L413" s="53">
        <v>2786</v>
      </c>
      <c r="M413" s="52">
        <v>0.31353135313531355</v>
      </c>
      <c r="N413" s="53">
        <v>2786</v>
      </c>
      <c r="O413" s="52">
        <v>0.31353135313531355</v>
      </c>
      <c r="P413" s="51">
        <f t="shared" si="12"/>
        <v>1.3284278535534817</v>
      </c>
      <c r="Q413" s="50">
        <f t="shared" si="13"/>
        <v>23.198018664752585</v>
      </c>
      <c r="R413" s="39" t="s">
        <v>51</v>
      </c>
    </row>
    <row r="414" spans="1:18" x14ac:dyDescent="0.35">
      <c r="A414" s="54">
        <v>1240301</v>
      </c>
      <c r="B414" s="54">
        <v>105353</v>
      </c>
      <c r="C414" s="54" t="s">
        <v>461</v>
      </c>
      <c r="D414" s="51">
        <v>64610.709999999701</v>
      </c>
      <c r="E414" s="52">
        <v>5.0921046296626409E-2</v>
      </c>
      <c r="F414" s="51">
        <v>64610.709999999701</v>
      </c>
      <c r="G414" s="52">
        <v>5.0921046296626409E-2</v>
      </c>
      <c r="H414" s="53">
        <v>4689</v>
      </c>
      <c r="I414" s="52">
        <v>-2.026744671959883E-2</v>
      </c>
      <c r="J414" s="53">
        <v>4689</v>
      </c>
      <c r="K414" s="52">
        <v>-2.026744671959883E-2</v>
      </c>
      <c r="L414" s="53">
        <v>3042</v>
      </c>
      <c r="M414" s="52">
        <v>-5.4104477611940295E-2</v>
      </c>
      <c r="N414" s="53">
        <v>3042</v>
      </c>
      <c r="O414" s="52">
        <v>-5.4104477611940295E-2</v>
      </c>
      <c r="P414" s="51">
        <f t="shared" si="12"/>
        <v>1.5414201183431953</v>
      </c>
      <c r="Q414" s="50">
        <f t="shared" si="13"/>
        <v>21.239549638395694</v>
      </c>
      <c r="R414" s="39" t="s">
        <v>54</v>
      </c>
    </row>
    <row r="415" spans="1:18" x14ac:dyDescent="0.35">
      <c r="A415" s="54">
        <v>1240108</v>
      </c>
      <c r="B415" s="54">
        <v>104594</v>
      </c>
      <c r="C415" s="54" t="s">
        <v>460</v>
      </c>
      <c r="D415" s="51">
        <v>64164.210000000072</v>
      </c>
      <c r="E415" s="52">
        <v>0.4174313173006633</v>
      </c>
      <c r="F415" s="51">
        <v>64164.210000000072</v>
      </c>
      <c r="G415" s="52">
        <v>0.4174313173006633</v>
      </c>
      <c r="H415" s="53">
        <v>4310</v>
      </c>
      <c r="I415" s="52">
        <v>0.35962145110410093</v>
      </c>
      <c r="J415" s="53">
        <v>4310</v>
      </c>
      <c r="K415" s="52">
        <v>0.35962145110410093</v>
      </c>
      <c r="L415" s="53">
        <v>2693</v>
      </c>
      <c r="M415" s="52">
        <v>0.3546277665995976</v>
      </c>
      <c r="N415" s="53">
        <v>2693</v>
      </c>
      <c r="O415" s="52">
        <v>0.3546277665995976</v>
      </c>
      <c r="P415" s="51">
        <f t="shared" si="12"/>
        <v>1.6004455997029334</v>
      </c>
      <c r="Q415" s="50">
        <f t="shared" si="13"/>
        <v>23.826294095803963</v>
      </c>
      <c r="R415" s="39" t="s">
        <v>54</v>
      </c>
    </row>
    <row r="416" spans="1:18" x14ac:dyDescent="0.35">
      <c r="A416" s="54">
        <v>1240335</v>
      </c>
      <c r="B416" s="54">
        <v>105897</v>
      </c>
      <c r="C416" s="54" t="s">
        <v>459</v>
      </c>
      <c r="D416" s="51">
        <v>63824.700000000477</v>
      </c>
      <c r="E416" s="52">
        <v>-0.18289134791490944</v>
      </c>
      <c r="F416" s="51">
        <v>63824.700000000477</v>
      </c>
      <c r="G416" s="52">
        <v>-0.18289134791490944</v>
      </c>
      <c r="H416" s="53">
        <v>4172</v>
      </c>
      <c r="I416" s="52">
        <v>-0.24063995922899115</v>
      </c>
      <c r="J416" s="53">
        <v>4172</v>
      </c>
      <c r="K416" s="52">
        <v>-0.24063995922899115</v>
      </c>
      <c r="L416" s="53">
        <v>2754</v>
      </c>
      <c r="M416" s="52">
        <v>-0.23733037939628912</v>
      </c>
      <c r="N416" s="53">
        <v>2754</v>
      </c>
      <c r="O416" s="52">
        <v>-0.23733037939628912</v>
      </c>
      <c r="P416" s="51">
        <f t="shared" si="12"/>
        <v>1.5148874364560638</v>
      </c>
      <c r="Q416" s="50">
        <f t="shared" si="13"/>
        <v>23.175272331154858</v>
      </c>
      <c r="R416" s="39" t="s">
        <v>54</v>
      </c>
    </row>
    <row r="417" spans="1:18" x14ac:dyDescent="0.35">
      <c r="A417" s="54">
        <v>1170017</v>
      </c>
      <c r="B417" s="54">
        <v>107357</v>
      </c>
      <c r="C417" s="54" t="s">
        <v>458</v>
      </c>
      <c r="D417" s="51">
        <v>63658.070000000429</v>
      </c>
      <c r="E417" s="52">
        <v>12.7893091706236</v>
      </c>
      <c r="F417" s="51">
        <v>13654.899999999932</v>
      </c>
      <c r="G417" s="52">
        <v>1.9578596679721203</v>
      </c>
      <c r="H417" s="53">
        <v>3041</v>
      </c>
      <c r="I417" s="52">
        <v>13.412322274881516</v>
      </c>
      <c r="J417" s="53">
        <v>647</v>
      </c>
      <c r="K417" s="52">
        <v>2.066350710900474</v>
      </c>
      <c r="L417" s="53">
        <v>2395</v>
      </c>
      <c r="M417" s="52">
        <v>13.341317365269461</v>
      </c>
      <c r="N417" s="53">
        <v>517</v>
      </c>
      <c r="O417" s="52">
        <v>2.0958083832335328</v>
      </c>
      <c r="P417" s="51">
        <f t="shared" si="12"/>
        <v>1.2697286012526097</v>
      </c>
      <c r="Q417" s="50">
        <f t="shared" si="13"/>
        <v>26.579569937369698</v>
      </c>
      <c r="R417" s="39" t="s">
        <v>51</v>
      </c>
    </row>
    <row r="418" spans="1:18" x14ac:dyDescent="0.35">
      <c r="A418" s="54">
        <v>1240374</v>
      </c>
      <c r="B418" s="54">
        <v>106844</v>
      </c>
      <c r="C418" s="54" t="s">
        <v>457</v>
      </c>
      <c r="D418" s="51">
        <v>63645.05999999991</v>
      </c>
      <c r="E418" s="52">
        <v>0.61883858837510908</v>
      </c>
      <c r="F418" s="51">
        <v>63645.05999999991</v>
      </c>
      <c r="G418" s="52">
        <v>0.61883858837510908</v>
      </c>
      <c r="H418" s="53">
        <v>4280</v>
      </c>
      <c r="I418" s="52">
        <v>0.4861111111111111</v>
      </c>
      <c r="J418" s="53">
        <v>4280</v>
      </c>
      <c r="K418" s="52">
        <v>0.4861111111111111</v>
      </c>
      <c r="L418" s="53">
        <v>3189</v>
      </c>
      <c r="M418" s="52">
        <v>0.54655674102812801</v>
      </c>
      <c r="N418" s="53">
        <v>3189</v>
      </c>
      <c r="O418" s="52">
        <v>0.54655674102812801</v>
      </c>
      <c r="P418" s="51">
        <f t="shared" si="12"/>
        <v>1.3421135152085293</v>
      </c>
      <c r="Q418" s="50">
        <f t="shared" si="13"/>
        <v>19.95768579492001</v>
      </c>
      <c r="R418" s="39" t="s">
        <v>51</v>
      </c>
    </row>
    <row r="419" spans="1:18" x14ac:dyDescent="0.35">
      <c r="A419" s="54">
        <v>1240402</v>
      </c>
      <c r="B419" s="54">
        <v>107120</v>
      </c>
      <c r="C419" s="54" t="s">
        <v>456</v>
      </c>
      <c r="D419" s="51">
        <v>63567.529999999038</v>
      </c>
      <c r="E419" s="52">
        <v>0.34099942830741792</v>
      </c>
      <c r="F419" s="51">
        <v>63567.529999999038</v>
      </c>
      <c r="G419" s="52">
        <v>0.34099942830741792</v>
      </c>
      <c r="H419" s="53">
        <v>4761</v>
      </c>
      <c r="I419" s="52">
        <v>0.2857142857142857</v>
      </c>
      <c r="J419" s="53">
        <v>4761</v>
      </c>
      <c r="K419" s="52">
        <v>0.2857142857142857</v>
      </c>
      <c r="L419" s="53">
        <v>2680</v>
      </c>
      <c r="M419" s="52">
        <v>0.17440841367221735</v>
      </c>
      <c r="N419" s="53">
        <v>2680</v>
      </c>
      <c r="O419" s="52">
        <v>0.17440841367221735</v>
      </c>
      <c r="P419" s="51">
        <f t="shared" si="12"/>
        <v>1.7764925373134328</v>
      </c>
      <c r="Q419" s="50">
        <f t="shared" si="13"/>
        <v>23.719227611939939</v>
      </c>
      <c r="R419" s="39" t="s">
        <v>54</v>
      </c>
    </row>
    <row r="420" spans="1:18" x14ac:dyDescent="0.35">
      <c r="A420" s="54">
        <v>1240279</v>
      </c>
      <c r="B420" s="54">
        <v>104894</v>
      </c>
      <c r="C420" s="54" t="s">
        <v>455</v>
      </c>
      <c r="D420" s="51">
        <v>63560.809999999561</v>
      </c>
      <c r="E420" s="52">
        <v>-0.1031284698474603</v>
      </c>
      <c r="F420" s="51">
        <v>63560.809999999561</v>
      </c>
      <c r="G420" s="52">
        <v>-0.1031284698474603</v>
      </c>
      <c r="H420" s="53">
        <v>4285</v>
      </c>
      <c r="I420" s="52">
        <v>-0.16520553282680694</v>
      </c>
      <c r="J420" s="53">
        <v>4285</v>
      </c>
      <c r="K420" s="52">
        <v>-0.16520553282680694</v>
      </c>
      <c r="L420" s="53">
        <v>2505</v>
      </c>
      <c r="M420" s="52">
        <v>-0.17544437129690585</v>
      </c>
      <c r="N420" s="53">
        <v>2505</v>
      </c>
      <c r="O420" s="52">
        <v>-0.17544437129690585</v>
      </c>
      <c r="P420" s="51">
        <f t="shared" si="12"/>
        <v>1.7105788423153692</v>
      </c>
      <c r="Q420" s="50">
        <f t="shared" si="13"/>
        <v>25.373576846307209</v>
      </c>
      <c r="R420" s="39" t="s">
        <v>54</v>
      </c>
    </row>
    <row r="421" spans="1:18" x14ac:dyDescent="0.35">
      <c r="A421" s="54">
        <v>1240364</v>
      </c>
      <c r="B421" s="54">
        <v>106734</v>
      </c>
      <c r="C421" s="54" t="s">
        <v>454</v>
      </c>
      <c r="D421" s="51">
        <v>63453.049999999552</v>
      </c>
      <c r="E421" s="52">
        <v>-0.35632683067016713</v>
      </c>
      <c r="F421" s="51">
        <v>63453.049999999552</v>
      </c>
      <c r="G421" s="52">
        <v>-0.35632683067016713</v>
      </c>
      <c r="H421" s="53">
        <v>4345</v>
      </c>
      <c r="I421" s="52">
        <v>-0.41180452145661295</v>
      </c>
      <c r="J421" s="53">
        <v>4345</v>
      </c>
      <c r="K421" s="52">
        <v>-0.41180452145661295</v>
      </c>
      <c r="L421" s="53">
        <v>2984</v>
      </c>
      <c r="M421" s="52">
        <v>-0.41627543035993742</v>
      </c>
      <c r="N421" s="53">
        <v>2984</v>
      </c>
      <c r="O421" s="52">
        <v>-0.41627543035993742</v>
      </c>
      <c r="P421" s="51">
        <f t="shared" si="12"/>
        <v>1.4560991957104559</v>
      </c>
      <c r="Q421" s="50">
        <f t="shared" si="13"/>
        <v>21.264426943699583</v>
      </c>
      <c r="R421" s="39" t="s">
        <v>51</v>
      </c>
    </row>
    <row r="422" spans="1:18" x14ac:dyDescent="0.35">
      <c r="A422" s="54">
        <v>1250015</v>
      </c>
      <c r="B422" s="54">
        <v>101506</v>
      </c>
      <c r="C422" s="54" t="s">
        <v>413</v>
      </c>
      <c r="D422" s="51">
        <v>63222.120000001916</v>
      </c>
      <c r="E422" s="52">
        <v>-0.46954201833919512</v>
      </c>
      <c r="F422" s="51">
        <v>63222.120000001916</v>
      </c>
      <c r="G422" s="52">
        <v>-0.46954201833919512</v>
      </c>
      <c r="H422" s="53">
        <v>3735</v>
      </c>
      <c r="I422" s="52">
        <v>-0.52268370607028758</v>
      </c>
      <c r="J422" s="53">
        <v>3735</v>
      </c>
      <c r="K422" s="52">
        <v>-0.52268370607028758</v>
      </c>
      <c r="L422" s="53">
        <v>2337</v>
      </c>
      <c r="M422" s="52">
        <v>-0.51754748142031382</v>
      </c>
      <c r="N422" s="53">
        <v>2337</v>
      </c>
      <c r="O422" s="52">
        <v>-0.51754748142031382</v>
      </c>
      <c r="P422" s="51">
        <f t="shared" si="12"/>
        <v>1.5982028241335045</v>
      </c>
      <c r="Q422" s="50">
        <f t="shared" si="13"/>
        <v>27.052682926830087</v>
      </c>
      <c r="R422" s="39" t="s">
        <v>54</v>
      </c>
    </row>
    <row r="423" spans="1:18" x14ac:dyDescent="0.35">
      <c r="A423" s="54">
        <v>1240433</v>
      </c>
      <c r="B423" s="54">
        <v>107808</v>
      </c>
      <c r="C423" s="54" t="s">
        <v>453</v>
      </c>
      <c r="D423" s="51">
        <v>63072.120000000126</v>
      </c>
      <c r="E423" s="52"/>
      <c r="F423" s="51"/>
      <c r="G423" s="52"/>
      <c r="H423" s="53">
        <v>4462</v>
      </c>
      <c r="I423" s="52" t="s">
        <v>52</v>
      </c>
      <c r="J423" s="53"/>
      <c r="K423" s="52"/>
      <c r="L423" s="53">
        <v>3150</v>
      </c>
      <c r="M423" s="52" t="s">
        <v>52</v>
      </c>
      <c r="N423" s="53"/>
      <c r="O423" s="52"/>
      <c r="P423" s="51">
        <f t="shared" si="12"/>
        <v>1.4165079365079365</v>
      </c>
      <c r="Q423" s="50">
        <f t="shared" si="13"/>
        <v>20.022895238095277</v>
      </c>
      <c r="R423" s="39" t="s">
        <v>51</v>
      </c>
    </row>
    <row r="424" spans="1:18" x14ac:dyDescent="0.35">
      <c r="A424" s="54">
        <v>1240432</v>
      </c>
      <c r="B424" s="54">
        <v>107840</v>
      </c>
      <c r="C424" s="54" t="s">
        <v>452</v>
      </c>
      <c r="D424" s="51">
        <v>62907.830000000016</v>
      </c>
      <c r="E424" s="52"/>
      <c r="F424" s="51"/>
      <c r="G424" s="52"/>
      <c r="H424" s="53">
        <v>3852</v>
      </c>
      <c r="I424" s="52" t="s">
        <v>52</v>
      </c>
      <c r="J424" s="53"/>
      <c r="K424" s="52"/>
      <c r="L424" s="53">
        <v>2644</v>
      </c>
      <c r="M424" s="52" t="s">
        <v>52</v>
      </c>
      <c r="N424" s="53"/>
      <c r="O424" s="52"/>
      <c r="P424" s="51">
        <f t="shared" si="12"/>
        <v>1.4568835098335855</v>
      </c>
      <c r="Q424" s="50">
        <f t="shared" si="13"/>
        <v>23.792673978819977</v>
      </c>
      <c r="R424" s="39" t="s">
        <v>51</v>
      </c>
    </row>
    <row r="425" spans="1:18" x14ac:dyDescent="0.35">
      <c r="A425" s="54">
        <v>1160010</v>
      </c>
      <c r="B425" s="54">
        <v>103446</v>
      </c>
      <c r="C425" s="54" t="s">
        <v>451</v>
      </c>
      <c r="D425" s="51">
        <v>62884.509999999682</v>
      </c>
      <c r="E425" s="52">
        <v>8.5640124370080659E-2</v>
      </c>
      <c r="F425" s="51">
        <v>62884.509999999682</v>
      </c>
      <c r="G425" s="52">
        <v>8.5640124370080659E-2</v>
      </c>
      <c r="H425" s="53">
        <v>3920</v>
      </c>
      <c r="I425" s="52">
        <v>3.9787798408488062E-2</v>
      </c>
      <c r="J425" s="53">
        <v>3920</v>
      </c>
      <c r="K425" s="52">
        <v>3.9787798408488062E-2</v>
      </c>
      <c r="L425" s="53">
        <v>2269</v>
      </c>
      <c r="M425" s="52">
        <v>0.25428413488114981</v>
      </c>
      <c r="N425" s="53">
        <v>2269</v>
      </c>
      <c r="O425" s="52">
        <v>0.25428413488114981</v>
      </c>
      <c r="P425" s="51">
        <f t="shared" si="12"/>
        <v>1.7276333186425739</v>
      </c>
      <c r="Q425" s="50">
        <f t="shared" si="13"/>
        <v>27.714636403701931</v>
      </c>
      <c r="R425" s="39" t="s">
        <v>54</v>
      </c>
    </row>
    <row r="426" spans="1:18" x14ac:dyDescent="0.35">
      <c r="A426" s="54">
        <v>1240424</v>
      </c>
      <c r="B426" s="54">
        <v>107714</v>
      </c>
      <c r="C426" s="54" t="s">
        <v>450</v>
      </c>
      <c r="D426" s="51">
        <v>62659.550000000367</v>
      </c>
      <c r="E426" s="52"/>
      <c r="F426" s="51"/>
      <c r="G426" s="52"/>
      <c r="H426" s="53">
        <v>3817</v>
      </c>
      <c r="I426" s="52" t="s">
        <v>52</v>
      </c>
      <c r="J426" s="53"/>
      <c r="K426" s="52"/>
      <c r="L426" s="53">
        <v>2775</v>
      </c>
      <c r="M426" s="52" t="s">
        <v>52</v>
      </c>
      <c r="N426" s="53"/>
      <c r="O426" s="52"/>
      <c r="P426" s="51">
        <f t="shared" si="12"/>
        <v>1.3754954954954954</v>
      </c>
      <c r="Q426" s="50">
        <f t="shared" si="13"/>
        <v>22.580018018018151</v>
      </c>
      <c r="R426" s="39" t="s">
        <v>51</v>
      </c>
    </row>
    <row r="427" spans="1:18" x14ac:dyDescent="0.35">
      <c r="A427" s="54">
        <v>1230125</v>
      </c>
      <c r="B427" s="54">
        <v>107334</v>
      </c>
      <c r="C427" s="54" t="s">
        <v>449</v>
      </c>
      <c r="D427" s="51">
        <v>62556.740000000376</v>
      </c>
      <c r="E427" s="52">
        <v>5.8672130571668522</v>
      </c>
      <c r="F427" s="51">
        <v>12633.279999999853</v>
      </c>
      <c r="G427" s="52">
        <v>0.38682778819425878</v>
      </c>
      <c r="H427" s="53">
        <v>3568</v>
      </c>
      <c r="I427" s="52">
        <v>5.8747591522158</v>
      </c>
      <c r="J427" s="53">
        <v>715</v>
      </c>
      <c r="K427" s="52">
        <v>0.37764932562620424</v>
      </c>
      <c r="L427" s="53">
        <v>2359</v>
      </c>
      <c r="M427" s="52">
        <v>6.5608974358974361</v>
      </c>
      <c r="N427" s="53">
        <v>469</v>
      </c>
      <c r="O427" s="52">
        <v>0.50320512820512819</v>
      </c>
      <c r="P427" s="51">
        <f t="shared" si="12"/>
        <v>1.5125052988554473</v>
      </c>
      <c r="Q427" s="50">
        <f t="shared" si="13"/>
        <v>26.518329800763194</v>
      </c>
      <c r="R427" s="39" t="s">
        <v>54</v>
      </c>
    </row>
    <row r="428" spans="1:18" x14ac:dyDescent="0.35">
      <c r="A428" s="54">
        <v>1240084</v>
      </c>
      <c r="B428" s="54">
        <v>100938</v>
      </c>
      <c r="C428" s="54" t="s">
        <v>448</v>
      </c>
      <c r="D428" s="51">
        <v>62544.31</v>
      </c>
      <c r="E428" s="52">
        <v>-0.44527777127365492</v>
      </c>
      <c r="F428" s="51">
        <v>62544.31</v>
      </c>
      <c r="G428" s="52">
        <v>-0.44527777127365492</v>
      </c>
      <c r="H428" s="53">
        <v>4134</v>
      </c>
      <c r="I428" s="52">
        <v>-0.50502873563218387</v>
      </c>
      <c r="J428" s="53">
        <v>4134</v>
      </c>
      <c r="K428" s="52">
        <v>-0.50502873563218387</v>
      </c>
      <c r="L428" s="53">
        <v>2944</v>
      </c>
      <c r="M428" s="52">
        <v>-0.51338842975206611</v>
      </c>
      <c r="N428" s="53">
        <v>2944</v>
      </c>
      <c r="O428" s="52">
        <v>-0.51338842975206611</v>
      </c>
      <c r="P428" s="51">
        <f t="shared" si="12"/>
        <v>1.404211956521739</v>
      </c>
      <c r="Q428" s="50">
        <f t="shared" si="13"/>
        <v>21.244670516304346</v>
      </c>
      <c r="R428" s="39" t="s">
        <v>51</v>
      </c>
    </row>
    <row r="429" spans="1:18" x14ac:dyDescent="0.35">
      <c r="A429" s="54">
        <v>1240344</v>
      </c>
      <c r="B429" s="54">
        <v>106183</v>
      </c>
      <c r="C429" s="54" t="s">
        <v>447</v>
      </c>
      <c r="D429" s="51">
        <v>62520.479999999676</v>
      </c>
      <c r="E429" s="52">
        <v>0.27813411841621749</v>
      </c>
      <c r="F429" s="51">
        <v>62520.479999999676</v>
      </c>
      <c r="G429" s="52">
        <v>0.27813411841621749</v>
      </c>
      <c r="H429" s="53">
        <v>4150</v>
      </c>
      <c r="I429" s="52">
        <v>0.15598885793871867</v>
      </c>
      <c r="J429" s="53">
        <v>4150</v>
      </c>
      <c r="K429" s="52">
        <v>0.15598885793871867</v>
      </c>
      <c r="L429" s="53">
        <v>2534</v>
      </c>
      <c r="M429" s="52">
        <v>0.13990103463787673</v>
      </c>
      <c r="N429" s="53">
        <v>2534</v>
      </c>
      <c r="O429" s="52">
        <v>0.13990103463787673</v>
      </c>
      <c r="P429" s="51">
        <f t="shared" si="12"/>
        <v>1.6377269139700079</v>
      </c>
      <c r="Q429" s="50">
        <f t="shared" si="13"/>
        <v>24.672644041041703</v>
      </c>
      <c r="R429" s="39" t="s">
        <v>54</v>
      </c>
    </row>
    <row r="430" spans="1:18" x14ac:dyDescent="0.35">
      <c r="A430" s="54">
        <v>1240394</v>
      </c>
      <c r="B430" s="54">
        <v>106971</v>
      </c>
      <c r="C430" s="54" t="s">
        <v>446</v>
      </c>
      <c r="D430" s="51">
        <v>62515.200000000114</v>
      </c>
      <c r="E430" s="52">
        <v>-8.4363113345854418E-2</v>
      </c>
      <c r="F430" s="51">
        <v>62515.200000000114</v>
      </c>
      <c r="G430" s="52">
        <v>-8.4363113345854418E-2</v>
      </c>
      <c r="H430" s="53">
        <v>4099</v>
      </c>
      <c r="I430" s="52">
        <v>-0.16227263437563866</v>
      </c>
      <c r="J430" s="53">
        <v>4099</v>
      </c>
      <c r="K430" s="52">
        <v>-0.16227263437563866</v>
      </c>
      <c r="L430" s="53">
        <v>2737</v>
      </c>
      <c r="M430" s="52">
        <v>-0.1005586592178771</v>
      </c>
      <c r="N430" s="53">
        <v>2737</v>
      </c>
      <c r="O430" s="52">
        <v>-0.1005586592178771</v>
      </c>
      <c r="P430" s="51">
        <f t="shared" si="12"/>
        <v>1.4976251370113263</v>
      </c>
      <c r="Q430" s="50">
        <f t="shared" si="13"/>
        <v>22.840774570697885</v>
      </c>
      <c r="R430" s="39" t="s">
        <v>51</v>
      </c>
    </row>
    <row r="431" spans="1:18" x14ac:dyDescent="0.35">
      <c r="A431" s="54">
        <v>1240410</v>
      </c>
      <c r="B431" s="54">
        <v>107321</v>
      </c>
      <c r="C431" s="54" t="s">
        <v>445</v>
      </c>
      <c r="D431" s="51">
        <v>62252.299999999763</v>
      </c>
      <c r="E431" s="52">
        <v>0.50983075725704885</v>
      </c>
      <c r="F431" s="51">
        <v>48241.269999999138</v>
      </c>
      <c r="G431" s="52">
        <v>0.17001545670024604</v>
      </c>
      <c r="H431" s="53">
        <v>4331</v>
      </c>
      <c r="I431" s="52">
        <v>0.4842357779300891</v>
      </c>
      <c r="J431" s="53">
        <v>3347</v>
      </c>
      <c r="K431" s="52">
        <v>0.14701850582590817</v>
      </c>
      <c r="L431" s="53">
        <v>3001</v>
      </c>
      <c r="M431" s="52">
        <v>0.59119830328738066</v>
      </c>
      <c r="N431" s="53">
        <v>2324</v>
      </c>
      <c r="O431" s="52">
        <v>0.23223753976670203</v>
      </c>
      <c r="P431" s="51">
        <f t="shared" si="12"/>
        <v>1.4431856047984006</v>
      </c>
      <c r="Q431" s="50">
        <f t="shared" si="13"/>
        <v>20.743852049316814</v>
      </c>
      <c r="R431" s="39" t="s">
        <v>51</v>
      </c>
    </row>
    <row r="432" spans="1:18" x14ac:dyDescent="0.35">
      <c r="A432" s="54">
        <v>1240076</v>
      </c>
      <c r="B432" s="54">
        <v>104256</v>
      </c>
      <c r="C432" s="54" t="s">
        <v>444</v>
      </c>
      <c r="D432" s="51">
        <v>62190.530000000072</v>
      </c>
      <c r="E432" s="52">
        <v>-0.12719957796059816</v>
      </c>
      <c r="F432" s="51">
        <v>62190.530000000072</v>
      </c>
      <c r="G432" s="52">
        <v>-0.12719957796059816</v>
      </c>
      <c r="H432" s="53">
        <v>3694</v>
      </c>
      <c r="I432" s="52">
        <v>-0.20284851100561072</v>
      </c>
      <c r="J432" s="53">
        <v>3694</v>
      </c>
      <c r="K432" s="52">
        <v>-0.20284851100561072</v>
      </c>
      <c r="L432" s="53">
        <v>2538</v>
      </c>
      <c r="M432" s="52">
        <v>-0.20811232449297973</v>
      </c>
      <c r="N432" s="53">
        <v>2538</v>
      </c>
      <c r="O432" s="52">
        <v>-0.20811232449297973</v>
      </c>
      <c r="P432" s="51">
        <f t="shared" si="12"/>
        <v>1.4554767533490938</v>
      </c>
      <c r="Q432" s="50">
        <f t="shared" si="13"/>
        <v>24.503754925137933</v>
      </c>
      <c r="R432" s="39" t="s">
        <v>51</v>
      </c>
    </row>
    <row r="433" spans="1:18" x14ac:dyDescent="0.35">
      <c r="A433" s="54">
        <v>1250033</v>
      </c>
      <c r="B433" s="54">
        <v>105385</v>
      </c>
      <c r="C433" s="54" t="s">
        <v>443</v>
      </c>
      <c r="D433" s="51">
        <v>61813.150000000183</v>
      </c>
      <c r="E433" s="52">
        <v>-5.5188487245997481E-2</v>
      </c>
      <c r="F433" s="51">
        <v>61813.150000000183</v>
      </c>
      <c r="G433" s="52">
        <v>-5.5188487245997481E-2</v>
      </c>
      <c r="H433" s="53">
        <v>3591</v>
      </c>
      <c r="I433" s="52">
        <v>-0.10893300248138958</v>
      </c>
      <c r="J433" s="53">
        <v>3591</v>
      </c>
      <c r="K433" s="52">
        <v>-0.10893300248138958</v>
      </c>
      <c r="L433" s="53">
        <v>2536</v>
      </c>
      <c r="M433" s="52">
        <v>-8.9407540394973076E-2</v>
      </c>
      <c r="N433" s="53">
        <v>2536</v>
      </c>
      <c r="O433" s="52">
        <v>-8.9407540394973076E-2</v>
      </c>
      <c r="P433" s="51">
        <f t="shared" si="12"/>
        <v>1.4160094637223974</v>
      </c>
      <c r="Q433" s="50">
        <f t="shared" si="13"/>
        <v>24.374270504731932</v>
      </c>
      <c r="R433" s="39" t="s">
        <v>51</v>
      </c>
    </row>
    <row r="434" spans="1:18" x14ac:dyDescent="0.35">
      <c r="A434" s="54">
        <v>1240132</v>
      </c>
      <c r="B434" s="54">
        <v>100365</v>
      </c>
      <c r="C434" s="54" t="s">
        <v>442</v>
      </c>
      <c r="D434" s="51">
        <v>61808.999999999578</v>
      </c>
      <c r="E434" s="52">
        <v>0.60877901041701821</v>
      </c>
      <c r="F434" s="51">
        <v>61808.999999999578</v>
      </c>
      <c r="G434" s="52">
        <v>0.60877901041701821</v>
      </c>
      <c r="H434" s="53">
        <v>4190</v>
      </c>
      <c r="I434" s="52">
        <v>0.55820007437709185</v>
      </c>
      <c r="J434" s="53">
        <v>4190</v>
      </c>
      <c r="K434" s="52">
        <v>0.55820007437709185</v>
      </c>
      <c r="L434" s="53">
        <v>2742</v>
      </c>
      <c r="M434" s="52">
        <v>0.58040345821325645</v>
      </c>
      <c r="N434" s="53">
        <v>2742</v>
      </c>
      <c r="O434" s="52">
        <v>0.58040345821325645</v>
      </c>
      <c r="P434" s="51">
        <f t="shared" si="12"/>
        <v>1.5280816921954778</v>
      </c>
      <c r="Q434" s="50">
        <f t="shared" si="13"/>
        <v>22.541575492341202</v>
      </c>
      <c r="R434" s="39" t="s">
        <v>54</v>
      </c>
    </row>
    <row r="435" spans="1:18" x14ac:dyDescent="0.35">
      <c r="A435" s="54">
        <v>1230113</v>
      </c>
      <c r="B435" s="54">
        <v>106832</v>
      </c>
      <c r="C435" s="54" t="s">
        <v>441</v>
      </c>
      <c r="D435" s="51">
        <v>61773.379999999845</v>
      </c>
      <c r="E435" s="52">
        <v>0.33313665769829121</v>
      </c>
      <c r="F435" s="51">
        <v>61773.379999999845</v>
      </c>
      <c r="G435" s="52">
        <v>0.33313665769829121</v>
      </c>
      <c r="H435" s="53">
        <v>3915</v>
      </c>
      <c r="I435" s="52">
        <v>0.25360230547550433</v>
      </c>
      <c r="J435" s="53">
        <v>3915</v>
      </c>
      <c r="K435" s="52">
        <v>0.25360230547550433</v>
      </c>
      <c r="L435" s="53">
        <v>2768</v>
      </c>
      <c r="M435" s="52">
        <v>0.25362318840579712</v>
      </c>
      <c r="N435" s="53">
        <v>2768</v>
      </c>
      <c r="O435" s="52">
        <v>0.25362318840579712</v>
      </c>
      <c r="P435" s="51">
        <f t="shared" si="12"/>
        <v>1.414378612716763</v>
      </c>
      <c r="Q435" s="50">
        <f t="shared" si="13"/>
        <v>22.316972543352545</v>
      </c>
      <c r="R435" s="39" t="s">
        <v>51</v>
      </c>
    </row>
    <row r="436" spans="1:18" x14ac:dyDescent="0.35">
      <c r="A436" s="54">
        <v>1200024</v>
      </c>
      <c r="B436" s="54">
        <v>107253</v>
      </c>
      <c r="C436" s="54" t="s">
        <v>440</v>
      </c>
      <c r="D436" s="51">
        <v>61695.010000000271</v>
      </c>
      <c r="E436" s="52">
        <v>1.0078756096934034</v>
      </c>
      <c r="F436" s="51">
        <v>45799.399999999223</v>
      </c>
      <c r="G436" s="52">
        <v>0.49055001690720362</v>
      </c>
      <c r="H436" s="53">
        <v>3836</v>
      </c>
      <c r="I436" s="52">
        <v>1.1635645798082346</v>
      </c>
      <c r="J436" s="53">
        <v>2847</v>
      </c>
      <c r="K436" s="52">
        <v>0.60575296108291032</v>
      </c>
      <c r="L436" s="53">
        <v>2660</v>
      </c>
      <c r="M436" s="52">
        <v>1.2001654259718775</v>
      </c>
      <c r="N436" s="53">
        <v>1976</v>
      </c>
      <c r="O436" s="52">
        <v>0.63440860215053763</v>
      </c>
      <c r="P436" s="51">
        <f t="shared" si="12"/>
        <v>1.4421052631578948</v>
      </c>
      <c r="Q436" s="50">
        <f t="shared" si="13"/>
        <v>23.19361278195499</v>
      </c>
      <c r="R436" s="39" t="s">
        <v>51</v>
      </c>
    </row>
    <row r="437" spans="1:18" x14ac:dyDescent="0.35">
      <c r="A437" s="54">
        <v>1240303</v>
      </c>
      <c r="B437" s="54">
        <v>105439</v>
      </c>
      <c r="C437" s="54" t="s">
        <v>439</v>
      </c>
      <c r="D437" s="51">
        <v>61485.719999999943</v>
      </c>
      <c r="E437" s="52">
        <v>0.29838247321385603</v>
      </c>
      <c r="F437" s="51">
        <v>61485.719999999943</v>
      </c>
      <c r="G437" s="52">
        <v>0.29838247321385603</v>
      </c>
      <c r="H437" s="53">
        <v>3807</v>
      </c>
      <c r="I437" s="52">
        <v>0.18303293971410814</v>
      </c>
      <c r="J437" s="53">
        <v>3807</v>
      </c>
      <c r="K437" s="52">
        <v>0.18303293971410814</v>
      </c>
      <c r="L437" s="53">
        <v>2571</v>
      </c>
      <c r="M437" s="52">
        <v>0.1755829903978052</v>
      </c>
      <c r="N437" s="53">
        <v>2571</v>
      </c>
      <c r="O437" s="52">
        <v>0.1755829903978052</v>
      </c>
      <c r="P437" s="51">
        <f t="shared" si="12"/>
        <v>1.4807467911318553</v>
      </c>
      <c r="Q437" s="50">
        <f t="shared" si="13"/>
        <v>23.915099183197178</v>
      </c>
      <c r="R437" s="39" t="s">
        <v>51</v>
      </c>
    </row>
    <row r="438" spans="1:18" x14ac:dyDescent="0.35">
      <c r="A438" s="54">
        <v>1240249</v>
      </c>
      <c r="B438" s="54">
        <v>104449</v>
      </c>
      <c r="C438" s="54" t="s">
        <v>438</v>
      </c>
      <c r="D438" s="51">
        <v>61245.829999999747</v>
      </c>
      <c r="E438" s="52">
        <v>-7.7123521375875359E-2</v>
      </c>
      <c r="F438" s="51">
        <v>61245.829999999747</v>
      </c>
      <c r="G438" s="52">
        <v>-7.7123521375875359E-2</v>
      </c>
      <c r="H438" s="53">
        <v>3964</v>
      </c>
      <c r="I438" s="52">
        <v>-0.17278797996661102</v>
      </c>
      <c r="J438" s="53">
        <v>3964</v>
      </c>
      <c r="K438" s="52">
        <v>-0.17278797996661102</v>
      </c>
      <c r="L438" s="53">
        <v>2710</v>
      </c>
      <c r="M438" s="52">
        <v>-0.17428397318708105</v>
      </c>
      <c r="N438" s="53">
        <v>2710</v>
      </c>
      <c r="O438" s="52">
        <v>-0.17428397318708105</v>
      </c>
      <c r="P438" s="51">
        <f t="shared" si="12"/>
        <v>1.462730627306273</v>
      </c>
      <c r="Q438" s="50">
        <f t="shared" si="13"/>
        <v>22.5999372693726</v>
      </c>
      <c r="R438" s="39" t="s">
        <v>51</v>
      </c>
    </row>
    <row r="439" spans="1:18" x14ac:dyDescent="0.35">
      <c r="A439" s="54">
        <v>1210064</v>
      </c>
      <c r="B439" s="54">
        <v>105690</v>
      </c>
      <c r="C439" s="54" t="s">
        <v>437</v>
      </c>
      <c r="D439" s="51">
        <v>61050.139999999978</v>
      </c>
      <c r="E439" s="52">
        <v>0.27102553516715544</v>
      </c>
      <c r="F439" s="51">
        <v>61050.139999999978</v>
      </c>
      <c r="G439" s="52">
        <v>0.27102553516715544</v>
      </c>
      <c r="H439" s="53">
        <v>3699</v>
      </c>
      <c r="I439" s="52">
        <v>0.18747993579454253</v>
      </c>
      <c r="J439" s="53">
        <v>3699</v>
      </c>
      <c r="K439" s="52">
        <v>0.18747993579454253</v>
      </c>
      <c r="L439" s="53">
        <v>2606</v>
      </c>
      <c r="M439" s="52">
        <v>0.17018410417602156</v>
      </c>
      <c r="N439" s="53">
        <v>2606</v>
      </c>
      <c r="O439" s="52">
        <v>0.17018410417602156</v>
      </c>
      <c r="P439" s="51">
        <f t="shared" si="12"/>
        <v>1.4194167306216423</v>
      </c>
      <c r="Q439" s="50">
        <f t="shared" si="13"/>
        <v>23.426761320030689</v>
      </c>
      <c r="R439" s="39" t="s">
        <v>51</v>
      </c>
    </row>
    <row r="440" spans="1:18" x14ac:dyDescent="0.35">
      <c r="A440" s="54">
        <v>1250001</v>
      </c>
      <c r="B440" s="54">
        <v>102759</v>
      </c>
      <c r="C440" s="54" t="s">
        <v>362</v>
      </c>
      <c r="D440" s="51">
        <v>60819.420000001752</v>
      </c>
      <c r="E440" s="52">
        <v>-0.4554425153745757</v>
      </c>
      <c r="F440" s="51">
        <v>60819.420000001752</v>
      </c>
      <c r="G440" s="52">
        <v>-0.4554425153745757</v>
      </c>
      <c r="H440" s="53">
        <v>3893</v>
      </c>
      <c r="I440" s="52">
        <v>-0.506528077069337</v>
      </c>
      <c r="J440" s="53">
        <v>3893</v>
      </c>
      <c r="K440" s="52">
        <v>-0.506528077069337</v>
      </c>
      <c r="L440" s="53">
        <v>2449</v>
      </c>
      <c r="M440" s="52">
        <v>-0.51762852077998822</v>
      </c>
      <c r="N440" s="53">
        <v>2449</v>
      </c>
      <c r="O440" s="52">
        <v>-0.51762852077998822</v>
      </c>
      <c r="P440" s="51">
        <f t="shared" si="12"/>
        <v>1.5896284197631687</v>
      </c>
      <c r="Q440" s="50">
        <f t="shared" si="13"/>
        <v>24.834389546754494</v>
      </c>
      <c r="R440" s="39" t="s">
        <v>54</v>
      </c>
    </row>
    <row r="441" spans="1:18" x14ac:dyDescent="0.35">
      <c r="A441" s="54">
        <v>1230077</v>
      </c>
      <c r="B441" s="54">
        <v>105574</v>
      </c>
      <c r="C441" s="54" t="s">
        <v>436</v>
      </c>
      <c r="D441" s="51">
        <v>60587.430000000335</v>
      </c>
      <c r="E441" s="52">
        <v>-0.4265749627220084</v>
      </c>
      <c r="F441" s="51">
        <v>60587.430000000335</v>
      </c>
      <c r="G441" s="52">
        <v>-0.4265749627220084</v>
      </c>
      <c r="H441" s="53">
        <v>3867</v>
      </c>
      <c r="I441" s="52">
        <v>-0.48114853079296926</v>
      </c>
      <c r="J441" s="53">
        <v>3867</v>
      </c>
      <c r="K441" s="52">
        <v>-0.48114853079296926</v>
      </c>
      <c r="L441" s="53">
        <v>2762</v>
      </c>
      <c r="M441" s="52">
        <v>-0.48248079445381298</v>
      </c>
      <c r="N441" s="53">
        <v>2762</v>
      </c>
      <c r="O441" s="52">
        <v>-0.48248079445381298</v>
      </c>
      <c r="P441" s="51">
        <f t="shared" si="12"/>
        <v>1.4000724112961622</v>
      </c>
      <c r="Q441" s="50">
        <f t="shared" si="13"/>
        <v>21.936071687183322</v>
      </c>
      <c r="R441" s="39" t="s">
        <v>51</v>
      </c>
    </row>
    <row r="442" spans="1:18" x14ac:dyDescent="0.35">
      <c r="A442" s="54">
        <v>1230065</v>
      </c>
      <c r="B442" s="54">
        <v>102313</v>
      </c>
      <c r="C442" s="54" t="s">
        <v>435</v>
      </c>
      <c r="D442" s="51">
        <v>60574.009999999435</v>
      </c>
      <c r="E442" s="52">
        <v>3.2735743367922711E-2</v>
      </c>
      <c r="F442" s="51">
        <v>60574.009999999435</v>
      </c>
      <c r="G442" s="52">
        <v>3.2735743367922711E-2</v>
      </c>
      <c r="H442" s="53">
        <v>4218</v>
      </c>
      <c r="I442" s="52">
        <v>-5.2773411183471813E-2</v>
      </c>
      <c r="J442" s="53">
        <v>4218</v>
      </c>
      <c r="K442" s="52">
        <v>-5.2773411183471813E-2</v>
      </c>
      <c r="L442" s="53">
        <v>2782</v>
      </c>
      <c r="M442" s="52">
        <v>-4.2670337233310394E-2</v>
      </c>
      <c r="N442" s="53">
        <v>2782</v>
      </c>
      <c r="O442" s="52">
        <v>-4.2670337233310394E-2</v>
      </c>
      <c r="P442" s="51">
        <f t="shared" si="12"/>
        <v>1.5161754133716752</v>
      </c>
      <c r="Q442" s="50">
        <f t="shared" si="13"/>
        <v>21.773547807332651</v>
      </c>
      <c r="R442" s="39" t="s">
        <v>54</v>
      </c>
    </row>
    <row r="443" spans="1:18" x14ac:dyDescent="0.35">
      <c r="A443" s="54">
        <v>1240077</v>
      </c>
      <c r="B443" s="54">
        <v>104726</v>
      </c>
      <c r="C443" s="54" t="s">
        <v>434</v>
      </c>
      <c r="D443" s="51">
        <v>60454.089999999895</v>
      </c>
      <c r="E443" s="52">
        <v>-0.12873223623955016</v>
      </c>
      <c r="F443" s="51">
        <v>60454.089999999895</v>
      </c>
      <c r="G443" s="52">
        <v>-0.12873223623955016</v>
      </c>
      <c r="H443" s="53">
        <v>3721</v>
      </c>
      <c r="I443" s="52">
        <v>-0.20201586961183787</v>
      </c>
      <c r="J443" s="53">
        <v>3721</v>
      </c>
      <c r="K443" s="52">
        <v>-0.20201586961183787</v>
      </c>
      <c r="L443" s="53">
        <v>2570</v>
      </c>
      <c r="M443" s="52">
        <v>-0.20996003688902551</v>
      </c>
      <c r="N443" s="53">
        <v>2570</v>
      </c>
      <c r="O443" s="52">
        <v>-0.20996003688902551</v>
      </c>
      <c r="P443" s="51">
        <f t="shared" si="12"/>
        <v>1.4478599221789883</v>
      </c>
      <c r="Q443" s="50">
        <f t="shared" si="13"/>
        <v>23.522992217898793</v>
      </c>
      <c r="R443" s="39" t="s">
        <v>51</v>
      </c>
    </row>
    <row r="444" spans="1:18" x14ac:dyDescent="0.35">
      <c r="A444" s="54">
        <v>1230032</v>
      </c>
      <c r="B444" s="54">
        <v>100675</v>
      </c>
      <c r="C444" s="54" t="s">
        <v>433</v>
      </c>
      <c r="D444" s="51">
        <v>60277.60999999963</v>
      </c>
      <c r="E444" s="52">
        <v>-6.9987290463538153E-3</v>
      </c>
      <c r="F444" s="51">
        <v>60277.60999999963</v>
      </c>
      <c r="G444" s="52">
        <v>-6.9987290463538153E-3</v>
      </c>
      <c r="H444" s="53">
        <v>3986</v>
      </c>
      <c r="I444" s="52">
        <v>-0.10707885304659498</v>
      </c>
      <c r="J444" s="53">
        <v>3986</v>
      </c>
      <c r="K444" s="52">
        <v>-0.10707885304659498</v>
      </c>
      <c r="L444" s="53">
        <v>2315</v>
      </c>
      <c r="M444" s="52">
        <v>-8.3531274742676173E-2</v>
      </c>
      <c r="N444" s="53">
        <v>2315</v>
      </c>
      <c r="O444" s="52">
        <v>-8.3531274742676173E-2</v>
      </c>
      <c r="P444" s="51">
        <f t="shared" si="12"/>
        <v>1.7218142548596111</v>
      </c>
      <c r="Q444" s="50">
        <f t="shared" si="13"/>
        <v>26.037844492440446</v>
      </c>
      <c r="R444" s="39" t="s">
        <v>54</v>
      </c>
    </row>
    <row r="445" spans="1:18" x14ac:dyDescent="0.35">
      <c r="A445" s="54">
        <v>1230116</v>
      </c>
      <c r="B445" s="54">
        <v>106859</v>
      </c>
      <c r="C445" s="54" t="s">
        <v>432</v>
      </c>
      <c r="D445" s="51">
        <v>60273.960000000545</v>
      </c>
      <c r="E445" s="52">
        <v>0.16252080133253835</v>
      </c>
      <c r="F445" s="51">
        <v>60273.960000000545</v>
      </c>
      <c r="G445" s="52">
        <v>0.16252080133253835</v>
      </c>
      <c r="H445" s="53">
        <v>3682</v>
      </c>
      <c r="I445" s="52">
        <v>4.5428733674048836E-2</v>
      </c>
      <c r="J445" s="53">
        <v>3682</v>
      </c>
      <c r="K445" s="52">
        <v>4.5428733674048836E-2</v>
      </c>
      <c r="L445" s="53">
        <v>2217</v>
      </c>
      <c r="M445" s="52">
        <v>9.0293453724604961E-4</v>
      </c>
      <c r="N445" s="53">
        <v>2217</v>
      </c>
      <c r="O445" s="52">
        <v>9.0293453724604961E-4</v>
      </c>
      <c r="P445" s="51">
        <f t="shared" si="12"/>
        <v>1.6608028867839422</v>
      </c>
      <c r="Q445" s="50">
        <f t="shared" si="13"/>
        <v>27.18717185385681</v>
      </c>
      <c r="R445" s="39" t="s">
        <v>54</v>
      </c>
    </row>
    <row r="446" spans="1:18" x14ac:dyDescent="0.35">
      <c r="A446" s="54">
        <v>1230078</v>
      </c>
      <c r="B446" s="54">
        <v>100479</v>
      </c>
      <c r="C446" s="54" t="s">
        <v>431</v>
      </c>
      <c r="D446" s="51">
        <v>60261.23999999954</v>
      </c>
      <c r="E446" s="52">
        <v>0.27049522150984723</v>
      </c>
      <c r="F446" s="51">
        <v>60261.23999999954</v>
      </c>
      <c r="G446" s="52">
        <v>0.27049522150984723</v>
      </c>
      <c r="H446" s="53">
        <v>4064</v>
      </c>
      <c r="I446" s="52">
        <v>0.10947310947310947</v>
      </c>
      <c r="J446" s="53">
        <v>4064</v>
      </c>
      <c r="K446" s="52">
        <v>0.10947310947310947</v>
      </c>
      <c r="L446" s="53">
        <v>2877</v>
      </c>
      <c r="M446" s="52">
        <v>0.10314417177914111</v>
      </c>
      <c r="N446" s="53">
        <v>2877</v>
      </c>
      <c r="O446" s="52">
        <v>0.10314417177914111</v>
      </c>
      <c r="P446" s="51">
        <f t="shared" si="12"/>
        <v>1.4125825512686827</v>
      </c>
      <c r="Q446" s="50">
        <f t="shared" si="13"/>
        <v>20.945860271115585</v>
      </c>
      <c r="R446" s="39" t="s">
        <v>51</v>
      </c>
    </row>
    <row r="447" spans="1:18" x14ac:dyDescent="0.35">
      <c r="A447" s="54">
        <v>1170018</v>
      </c>
      <c r="B447" s="54">
        <v>107370</v>
      </c>
      <c r="C447" s="54" t="s">
        <v>430</v>
      </c>
      <c r="D447" s="51">
        <v>59928.530000000042</v>
      </c>
      <c r="E447" s="52"/>
      <c r="F447" s="51"/>
      <c r="G447" s="52"/>
      <c r="H447" s="53">
        <v>2999</v>
      </c>
      <c r="I447" s="52" t="s">
        <v>52</v>
      </c>
      <c r="J447" s="53"/>
      <c r="K447" s="52"/>
      <c r="L447" s="53">
        <v>2064</v>
      </c>
      <c r="M447" s="52" t="s">
        <v>52</v>
      </c>
      <c r="N447" s="53"/>
      <c r="O447" s="52"/>
      <c r="P447" s="51">
        <f t="shared" si="12"/>
        <v>1.4530038759689923</v>
      </c>
      <c r="Q447" s="50">
        <f t="shared" si="13"/>
        <v>29.03514050387599</v>
      </c>
      <c r="R447" s="39" t="s">
        <v>51</v>
      </c>
    </row>
    <row r="448" spans="1:18" x14ac:dyDescent="0.35">
      <c r="A448" s="54">
        <v>1260015</v>
      </c>
      <c r="B448" s="54">
        <v>105220</v>
      </c>
      <c r="C448" s="54" t="s">
        <v>429</v>
      </c>
      <c r="D448" s="51">
        <v>59878.69000000041</v>
      </c>
      <c r="E448" s="52">
        <v>5.550996895274285E-2</v>
      </c>
      <c r="F448" s="51">
        <v>59878.69000000041</v>
      </c>
      <c r="G448" s="52">
        <v>5.550996895274285E-2</v>
      </c>
      <c r="H448" s="53">
        <v>3633</v>
      </c>
      <c r="I448" s="52">
        <v>-3.1716417910447763E-2</v>
      </c>
      <c r="J448" s="53">
        <v>3633</v>
      </c>
      <c r="K448" s="52">
        <v>-3.1716417910447763E-2</v>
      </c>
      <c r="L448" s="53">
        <v>2557</v>
      </c>
      <c r="M448" s="52">
        <v>-2.5533536585365852E-2</v>
      </c>
      <c r="N448" s="53">
        <v>2557</v>
      </c>
      <c r="O448" s="52">
        <v>-2.5533536585365852E-2</v>
      </c>
      <c r="P448" s="51">
        <f t="shared" si="12"/>
        <v>1.4208056315995308</v>
      </c>
      <c r="Q448" s="50">
        <f t="shared" si="13"/>
        <v>23.417555729370516</v>
      </c>
      <c r="R448" s="39" t="s">
        <v>51</v>
      </c>
    </row>
    <row r="449" spans="1:18" x14ac:dyDescent="0.35">
      <c r="A449" s="54">
        <v>1240111</v>
      </c>
      <c r="B449" s="54">
        <v>104327</v>
      </c>
      <c r="C449" s="54" t="s">
        <v>282</v>
      </c>
      <c r="D449" s="51">
        <v>59781.689999999275</v>
      </c>
      <c r="E449" s="52">
        <v>-0.41224886712649667</v>
      </c>
      <c r="F449" s="51">
        <v>59781.689999999275</v>
      </c>
      <c r="G449" s="52">
        <v>-0.41224886712649667</v>
      </c>
      <c r="H449" s="53">
        <v>3999</v>
      </c>
      <c r="I449" s="52">
        <v>-0.44093387389906336</v>
      </c>
      <c r="J449" s="53">
        <v>3999</v>
      </c>
      <c r="K449" s="52">
        <v>-0.44093387389906336</v>
      </c>
      <c r="L449" s="53">
        <v>2283</v>
      </c>
      <c r="M449" s="52">
        <v>-0.43180686908909904</v>
      </c>
      <c r="N449" s="53">
        <v>2283</v>
      </c>
      <c r="O449" s="52">
        <v>-0.43180686908909904</v>
      </c>
      <c r="P449" s="51">
        <f t="shared" si="12"/>
        <v>1.7516425755584757</v>
      </c>
      <c r="Q449" s="50">
        <f t="shared" si="13"/>
        <v>26.1855847568985</v>
      </c>
      <c r="R449" s="39" t="s">
        <v>54</v>
      </c>
    </row>
    <row r="450" spans="1:18" x14ac:dyDescent="0.35">
      <c r="A450" s="54">
        <v>1230123</v>
      </c>
      <c r="B450" s="54">
        <v>107176</v>
      </c>
      <c r="C450" s="54" t="s">
        <v>428</v>
      </c>
      <c r="D450" s="51">
        <v>59528.950000000055</v>
      </c>
      <c r="E450" s="52">
        <v>2.8236497529466126E-2</v>
      </c>
      <c r="F450" s="51">
        <v>59528.950000000055</v>
      </c>
      <c r="G450" s="52">
        <v>2.8236497529466126E-2</v>
      </c>
      <c r="H450" s="53">
        <v>3652</v>
      </c>
      <c r="I450" s="52">
        <v>-4.697286012526096E-2</v>
      </c>
      <c r="J450" s="53">
        <v>3652</v>
      </c>
      <c r="K450" s="52">
        <v>-4.697286012526096E-2</v>
      </c>
      <c r="L450" s="53">
        <v>2628</v>
      </c>
      <c r="M450" s="52">
        <v>-4.9891540130151846E-2</v>
      </c>
      <c r="N450" s="53">
        <v>2628</v>
      </c>
      <c r="O450" s="52">
        <v>-4.9891540130151846E-2</v>
      </c>
      <c r="P450" s="51">
        <f t="shared" si="12"/>
        <v>1.3896499238964992</v>
      </c>
      <c r="Q450" s="50">
        <f t="shared" si="13"/>
        <v>22.651807458143097</v>
      </c>
      <c r="R450" s="39" t="s">
        <v>51</v>
      </c>
    </row>
    <row r="451" spans="1:18" x14ac:dyDescent="0.35">
      <c r="A451" s="54">
        <v>1140005</v>
      </c>
      <c r="B451" s="54">
        <v>104665</v>
      </c>
      <c r="C451" s="54" t="s">
        <v>427</v>
      </c>
      <c r="D451" s="51">
        <v>59441.569999999701</v>
      </c>
      <c r="E451" s="52">
        <v>7.4496971007245852E-2</v>
      </c>
      <c r="F451" s="51">
        <v>59441.569999999701</v>
      </c>
      <c r="G451" s="52">
        <v>7.4496971007245852E-2</v>
      </c>
      <c r="H451" s="53">
        <v>3853</v>
      </c>
      <c r="I451" s="52">
        <v>1.2993762993762994E-3</v>
      </c>
      <c r="J451" s="53">
        <v>3853</v>
      </c>
      <c r="K451" s="52">
        <v>1.2993762993762994E-3</v>
      </c>
      <c r="L451" s="53">
        <v>2363</v>
      </c>
      <c r="M451" s="52">
        <v>-6.7482241515390687E-2</v>
      </c>
      <c r="N451" s="53">
        <v>2363</v>
      </c>
      <c r="O451" s="52">
        <v>-6.7482241515390687E-2</v>
      </c>
      <c r="P451" s="51">
        <f t="shared" si="12"/>
        <v>1.6305543800253914</v>
      </c>
      <c r="Q451" s="50">
        <f t="shared" si="13"/>
        <v>25.155129073211892</v>
      </c>
      <c r="R451" s="39" t="s">
        <v>54</v>
      </c>
    </row>
    <row r="452" spans="1:18" x14ac:dyDescent="0.35">
      <c r="A452" s="54">
        <v>1240289</v>
      </c>
      <c r="B452" s="54">
        <v>105035</v>
      </c>
      <c r="C452" s="54" t="s">
        <v>426</v>
      </c>
      <c r="D452" s="51">
        <v>59325.999999999724</v>
      </c>
      <c r="E452" s="52">
        <v>3.8534994494502983E-2</v>
      </c>
      <c r="F452" s="51">
        <v>59325.999999999724</v>
      </c>
      <c r="G452" s="52">
        <v>3.8534994494502983E-2</v>
      </c>
      <c r="H452" s="53">
        <v>3967</v>
      </c>
      <c r="I452" s="52">
        <v>-5.0502632838678792E-2</v>
      </c>
      <c r="J452" s="53">
        <v>3967</v>
      </c>
      <c r="K452" s="52">
        <v>-5.0502632838678792E-2</v>
      </c>
      <c r="L452" s="53">
        <v>2718</v>
      </c>
      <c r="M452" s="52">
        <v>-1.0917030567685589E-2</v>
      </c>
      <c r="N452" s="53">
        <v>2718</v>
      </c>
      <c r="O452" s="52">
        <v>-1.0917030567685589E-2</v>
      </c>
      <c r="P452" s="51">
        <f t="shared" si="12"/>
        <v>1.4595290654893305</v>
      </c>
      <c r="Q452" s="50">
        <f t="shared" si="13"/>
        <v>21.827078734363401</v>
      </c>
      <c r="R452" s="39" t="s">
        <v>51</v>
      </c>
    </row>
    <row r="453" spans="1:18" x14ac:dyDescent="0.35">
      <c r="A453" s="54">
        <v>1240019</v>
      </c>
      <c r="B453" s="54">
        <v>100905</v>
      </c>
      <c r="C453" s="54" t="s">
        <v>425</v>
      </c>
      <c r="D453" s="51">
        <v>59229.27999999946</v>
      </c>
      <c r="E453" s="52">
        <v>6.1688375706380846E-2</v>
      </c>
      <c r="F453" s="51">
        <v>59229.27999999946</v>
      </c>
      <c r="G453" s="52">
        <v>6.1688375706380846E-2</v>
      </c>
      <c r="H453" s="53">
        <v>4243</v>
      </c>
      <c r="I453" s="52">
        <v>-4.5873622666966492E-2</v>
      </c>
      <c r="J453" s="53">
        <v>4243</v>
      </c>
      <c r="K453" s="52">
        <v>-4.5873622666966492E-2</v>
      </c>
      <c r="L453" s="53">
        <v>2733</v>
      </c>
      <c r="M453" s="52">
        <v>-0.11323815704088254</v>
      </c>
      <c r="N453" s="53">
        <v>2733</v>
      </c>
      <c r="O453" s="52">
        <v>-0.11323815704088254</v>
      </c>
      <c r="P453" s="51">
        <f t="shared" ref="P453:P516" si="14">H453/L453</f>
        <v>1.552506403219905</v>
      </c>
      <c r="Q453" s="50">
        <f t="shared" ref="Q453:Q516" si="15">D453/L453</f>
        <v>21.67189169410884</v>
      </c>
      <c r="R453" s="39" t="s">
        <v>54</v>
      </c>
    </row>
    <row r="454" spans="1:18" x14ac:dyDescent="0.35">
      <c r="A454" s="54">
        <v>1210038</v>
      </c>
      <c r="B454" s="54">
        <v>100694</v>
      </c>
      <c r="C454" s="54" t="s">
        <v>424</v>
      </c>
      <c r="D454" s="51">
        <v>59097.799999999741</v>
      </c>
      <c r="E454" s="52">
        <v>0.16555317023528332</v>
      </c>
      <c r="F454" s="51">
        <v>59097.799999999741</v>
      </c>
      <c r="G454" s="52">
        <v>0.16555317023528332</v>
      </c>
      <c r="H454" s="53">
        <v>3924</v>
      </c>
      <c r="I454" s="52">
        <v>6.6826164971997226E-2</v>
      </c>
      <c r="J454" s="53">
        <v>3924</v>
      </c>
      <c r="K454" s="52">
        <v>6.6826164971997226E-2</v>
      </c>
      <c r="L454" s="53">
        <v>2732</v>
      </c>
      <c r="M454" s="52">
        <v>4.1952707856598014E-2</v>
      </c>
      <c r="N454" s="53">
        <v>2732</v>
      </c>
      <c r="O454" s="52">
        <v>4.1952707856598014E-2</v>
      </c>
      <c r="P454" s="51">
        <f t="shared" si="14"/>
        <v>1.4363103953147878</v>
      </c>
      <c r="Q454" s="50">
        <f t="shared" si="15"/>
        <v>21.631698389458176</v>
      </c>
      <c r="R454" s="39" t="s">
        <v>51</v>
      </c>
    </row>
    <row r="455" spans="1:18" x14ac:dyDescent="0.35">
      <c r="A455" s="54">
        <v>1190016</v>
      </c>
      <c r="B455" s="54">
        <v>105068</v>
      </c>
      <c r="C455" s="54" t="s">
        <v>423</v>
      </c>
      <c r="D455" s="51">
        <v>59004.890000000189</v>
      </c>
      <c r="E455" s="52">
        <v>0.11458115905701663</v>
      </c>
      <c r="F455" s="51">
        <v>59004.890000000189</v>
      </c>
      <c r="G455" s="52">
        <v>0.11458115905701678</v>
      </c>
      <c r="H455" s="53">
        <v>3080</v>
      </c>
      <c r="I455" s="52">
        <v>-2.2842639593908629E-2</v>
      </c>
      <c r="J455" s="53">
        <v>3080</v>
      </c>
      <c r="K455" s="52">
        <v>-2.2842639593908629E-2</v>
      </c>
      <c r="L455" s="53">
        <v>2189</v>
      </c>
      <c r="M455" s="52">
        <v>-5.8494623655913978E-2</v>
      </c>
      <c r="N455" s="53">
        <v>2189</v>
      </c>
      <c r="O455" s="52">
        <v>-5.8494623655913978E-2</v>
      </c>
      <c r="P455" s="51">
        <f t="shared" si="14"/>
        <v>1.4070351758793971</v>
      </c>
      <c r="Q455" s="50">
        <f t="shared" si="15"/>
        <v>26.955180447693095</v>
      </c>
      <c r="R455" s="39" t="s">
        <v>51</v>
      </c>
    </row>
    <row r="456" spans="1:18" x14ac:dyDescent="0.35">
      <c r="A456" s="54">
        <v>1100008</v>
      </c>
      <c r="B456" s="54">
        <v>104804</v>
      </c>
      <c r="C456" s="54" t="s">
        <v>422</v>
      </c>
      <c r="D456" s="51">
        <v>58941.410000000076</v>
      </c>
      <c r="E456" s="52">
        <v>-5.8084764691383271E-3</v>
      </c>
      <c r="F456" s="51">
        <v>58941.410000000076</v>
      </c>
      <c r="G456" s="52">
        <v>-5.8084764691383271E-3</v>
      </c>
      <c r="H456" s="53">
        <v>3393</v>
      </c>
      <c r="I456" s="52">
        <v>-7.9989154013015179E-2</v>
      </c>
      <c r="J456" s="53">
        <v>3393</v>
      </c>
      <c r="K456" s="52">
        <v>-7.9989154013015179E-2</v>
      </c>
      <c r="L456" s="53">
        <v>2382</v>
      </c>
      <c r="M456" s="52">
        <v>-6.8075117370892016E-2</v>
      </c>
      <c r="N456" s="53">
        <v>2382</v>
      </c>
      <c r="O456" s="52">
        <v>-6.8075117370892016E-2</v>
      </c>
      <c r="P456" s="51">
        <f t="shared" si="14"/>
        <v>1.4244332493702772</v>
      </c>
      <c r="Q456" s="50">
        <f t="shared" si="15"/>
        <v>24.744504617968126</v>
      </c>
      <c r="R456" s="39" t="s">
        <v>51</v>
      </c>
    </row>
    <row r="457" spans="1:18" x14ac:dyDescent="0.35">
      <c r="A457" s="54">
        <v>1230094</v>
      </c>
      <c r="B457" s="54">
        <v>104899</v>
      </c>
      <c r="C457" s="54" t="s">
        <v>421</v>
      </c>
      <c r="D457" s="51">
        <v>58831.149999999601</v>
      </c>
      <c r="E457" s="52">
        <v>7.1067381620056991E-2</v>
      </c>
      <c r="F457" s="51">
        <v>58831.149999999601</v>
      </c>
      <c r="G457" s="52">
        <v>7.1067381620056991E-2</v>
      </c>
      <c r="H457" s="53">
        <v>3703</v>
      </c>
      <c r="I457" s="52">
        <v>-9.8930481283422463E-3</v>
      </c>
      <c r="J457" s="53">
        <v>3703</v>
      </c>
      <c r="K457" s="52">
        <v>-9.8930481283422463E-3</v>
      </c>
      <c r="L457" s="53">
        <v>2577</v>
      </c>
      <c r="M457" s="52">
        <v>-2.6077097505668934E-2</v>
      </c>
      <c r="N457" s="53">
        <v>2577</v>
      </c>
      <c r="O457" s="52">
        <v>-2.6077097505668934E-2</v>
      </c>
      <c r="P457" s="51">
        <f t="shared" si="14"/>
        <v>1.436942180830423</v>
      </c>
      <c r="Q457" s="50">
        <f t="shared" si="15"/>
        <v>22.829317035312226</v>
      </c>
      <c r="R457" s="39" t="s">
        <v>51</v>
      </c>
    </row>
    <row r="458" spans="1:18" x14ac:dyDescent="0.35">
      <c r="A458" s="54">
        <v>1240228</v>
      </c>
      <c r="B458" s="54">
        <v>103782</v>
      </c>
      <c r="C458" s="54" t="s">
        <v>420</v>
      </c>
      <c r="D458" s="51">
        <v>58524.449999999641</v>
      </c>
      <c r="E458" s="52">
        <v>-7.6495310556123922E-2</v>
      </c>
      <c r="F458" s="51">
        <v>58524.449999999641</v>
      </c>
      <c r="G458" s="52">
        <v>-7.6495310556123922E-2</v>
      </c>
      <c r="H458" s="53">
        <v>3607.9799999999996</v>
      </c>
      <c r="I458" s="52">
        <v>-0.19012794612794623</v>
      </c>
      <c r="J458" s="53">
        <v>3607.9799999999996</v>
      </c>
      <c r="K458" s="52">
        <v>-0.19012794612794623</v>
      </c>
      <c r="L458" s="53">
        <v>1310</v>
      </c>
      <c r="M458" s="52">
        <v>-0.46963562753036436</v>
      </c>
      <c r="N458" s="53">
        <v>1310</v>
      </c>
      <c r="O458" s="52">
        <v>-0.46963562753036436</v>
      </c>
      <c r="P458" s="51">
        <f t="shared" si="14"/>
        <v>2.7541832061068701</v>
      </c>
      <c r="Q458" s="50">
        <f t="shared" si="15"/>
        <v>44.675152671755448</v>
      </c>
      <c r="R458" s="39" t="s">
        <v>70</v>
      </c>
    </row>
    <row r="459" spans="1:18" x14ac:dyDescent="0.35">
      <c r="A459" s="54">
        <v>1230130</v>
      </c>
      <c r="B459" s="54">
        <v>107697</v>
      </c>
      <c r="C459" s="54" t="s">
        <v>419</v>
      </c>
      <c r="D459" s="51">
        <v>58247.110000000335</v>
      </c>
      <c r="E459" s="52"/>
      <c r="F459" s="51"/>
      <c r="G459" s="52"/>
      <c r="H459" s="53">
        <v>3477</v>
      </c>
      <c r="I459" s="52" t="s">
        <v>52</v>
      </c>
      <c r="J459" s="53"/>
      <c r="K459" s="52"/>
      <c r="L459" s="53">
        <v>2479</v>
      </c>
      <c r="M459" s="52" t="s">
        <v>52</v>
      </c>
      <c r="N459" s="53"/>
      <c r="O459" s="52"/>
      <c r="P459" s="51">
        <f t="shared" si="14"/>
        <v>1.4025816861637757</v>
      </c>
      <c r="Q459" s="50">
        <f t="shared" si="15"/>
        <v>23.496212182331721</v>
      </c>
      <c r="R459" s="39" t="s">
        <v>51</v>
      </c>
    </row>
    <row r="460" spans="1:18" x14ac:dyDescent="0.35">
      <c r="A460" s="54">
        <v>1240375</v>
      </c>
      <c r="B460" s="54">
        <v>106841</v>
      </c>
      <c r="C460" s="54" t="s">
        <v>418</v>
      </c>
      <c r="D460" s="51">
        <v>58089.59999999954</v>
      </c>
      <c r="E460" s="52">
        <v>0.42739336371776177</v>
      </c>
      <c r="F460" s="51">
        <v>58089.59999999954</v>
      </c>
      <c r="G460" s="52">
        <v>0.42739336371776177</v>
      </c>
      <c r="H460" s="53">
        <v>3892</v>
      </c>
      <c r="I460" s="52">
        <v>0.34811222722549356</v>
      </c>
      <c r="J460" s="53">
        <v>3892</v>
      </c>
      <c r="K460" s="52">
        <v>0.34811222722549356</v>
      </c>
      <c r="L460" s="53">
        <v>2546</v>
      </c>
      <c r="M460" s="52">
        <v>0.36881720430107529</v>
      </c>
      <c r="N460" s="53">
        <v>2546</v>
      </c>
      <c r="O460" s="52">
        <v>0.36881720430107529</v>
      </c>
      <c r="P460" s="51">
        <f t="shared" si="14"/>
        <v>1.5286724273369992</v>
      </c>
      <c r="Q460" s="50">
        <f t="shared" si="15"/>
        <v>22.816025137470362</v>
      </c>
      <c r="R460" s="39" t="s">
        <v>54</v>
      </c>
    </row>
    <row r="461" spans="1:18" x14ac:dyDescent="0.35">
      <c r="A461" s="54">
        <v>1240078</v>
      </c>
      <c r="B461" s="54">
        <v>105508</v>
      </c>
      <c r="C461" s="54" t="s">
        <v>417</v>
      </c>
      <c r="D461" s="51">
        <v>58085.659999999538</v>
      </c>
      <c r="E461" s="52">
        <v>8.539191387073522E-2</v>
      </c>
      <c r="F461" s="51">
        <v>58085.659999999538</v>
      </c>
      <c r="G461" s="52">
        <v>8.539191387073522E-2</v>
      </c>
      <c r="H461" s="53">
        <v>3995</v>
      </c>
      <c r="I461" s="52">
        <v>-3.2453378542019858E-2</v>
      </c>
      <c r="J461" s="53">
        <v>3995</v>
      </c>
      <c r="K461" s="52">
        <v>-3.2453378542019858E-2</v>
      </c>
      <c r="L461" s="53">
        <v>2542</v>
      </c>
      <c r="M461" s="52">
        <v>-4.1478129713423829E-2</v>
      </c>
      <c r="N461" s="53">
        <v>2542</v>
      </c>
      <c r="O461" s="52">
        <v>-4.1478129713423829E-2</v>
      </c>
      <c r="P461" s="51">
        <f t="shared" si="14"/>
        <v>1.571597167584579</v>
      </c>
      <c r="Q461" s="50">
        <f t="shared" si="15"/>
        <v>22.850377655389277</v>
      </c>
      <c r="R461" s="39" t="s">
        <v>54</v>
      </c>
    </row>
    <row r="462" spans="1:18" x14ac:dyDescent="0.35">
      <c r="A462" s="54">
        <v>1240380</v>
      </c>
      <c r="B462" s="54">
        <v>106892</v>
      </c>
      <c r="C462" s="54" t="s">
        <v>416</v>
      </c>
      <c r="D462" s="51">
        <v>57934.369999999646</v>
      </c>
      <c r="E462" s="52">
        <v>0.77701344391925231</v>
      </c>
      <c r="F462" s="51">
        <v>57934.369999999646</v>
      </c>
      <c r="G462" s="52">
        <v>0.77701344391925231</v>
      </c>
      <c r="H462" s="53">
        <v>3825</v>
      </c>
      <c r="I462" s="52">
        <v>0.71447781264007171</v>
      </c>
      <c r="J462" s="53">
        <v>3825</v>
      </c>
      <c r="K462" s="52">
        <v>0.71447781264007171</v>
      </c>
      <c r="L462" s="53">
        <v>2403</v>
      </c>
      <c r="M462" s="52">
        <v>0.74890829694323147</v>
      </c>
      <c r="N462" s="53">
        <v>2403</v>
      </c>
      <c r="O462" s="52">
        <v>0.74890829694323147</v>
      </c>
      <c r="P462" s="51">
        <f t="shared" si="14"/>
        <v>1.5917602996254681</v>
      </c>
      <c r="Q462" s="50">
        <f t="shared" si="15"/>
        <v>24.109184352892072</v>
      </c>
      <c r="R462" s="39" t="s">
        <v>54</v>
      </c>
    </row>
    <row r="463" spans="1:18" x14ac:dyDescent="0.35">
      <c r="A463" s="54">
        <v>1240213</v>
      </c>
      <c r="B463" s="54">
        <v>102913</v>
      </c>
      <c r="C463" s="54" t="s">
        <v>415</v>
      </c>
      <c r="D463" s="51">
        <v>57913.179999999877</v>
      </c>
      <c r="E463" s="52">
        <v>-1.2038015293432576E-3</v>
      </c>
      <c r="F463" s="51">
        <v>57913.179999999877</v>
      </c>
      <c r="G463" s="52">
        <v>-1.2038015293432576E-3</v>
      </c>
      <c r="H463" s="53">
        <v>3938</v>
      </c>
      <c r="I463" s="52">
        <v>-8.4186046511627907E-2</v>
      </c>
      <c r="J463" s="53">
        <v>3938</v>
      </c>
      <c r="K463" s="52">
        <v>-8.4186046511627907E-2</v>
      </c>
      <c r="L463" s="53">
        <v>2868</v>
      </c>
      <c r="M463" s="52">
        <v>-5.8746307843780765E-2</v>
      </c>
      <c r="N463" s="53">
        <v>2868</v>
      </c>
      <c r="O463" s="52">
        <v>-5.8746307843780765E-2</v>
      </c>
      <c r="P463" s="51">
        <f t="shared" si="14"/>
        <v>1.3730822873082287</v>
      </c>
      <c r="Q463" s="50">
        <f t="shared" si="15"/>
        <v>20.192880055787963</v>
      </c>
      <c r="R463" s="39" t="s">
        <v>51</v>
      </c>
    </row>
    <row r="464" spans="1:18" x14ac:dyDescent="0.35">
      <c r="A464" s="54">
        <v>1240064</v>
      </c>
      <c r="B464" s="54">
        <v>100342</v>
      </c>
      <c r="C464" s="54" t="s">
        <v>414</v>
      </c>
      <c r="D464" s="51">
        <v>57847.539999998982</v>
      </c>
      <c r="E464" s="52">
        <v>0.22962064218046579</v>
      </c>
      <c r="F464" s="51">
        <v>57847.539999998982</v>
      </c>
      <c r="G464" s="52">
        <v>0.22962064218046579</v>
      </c>
      <c r="H464" s="53">
        <v>4007</v>
      </c>
      <c r="I464" s="52">
        <v>6.3711176002123712E-2</v>
      </c>
      <c r="J464" s="53">
        <v>4007</v>
      </c>
      <c r="K464" s="52">
        <v>6.3711176002123712E-2</v>
      </c>
      <c r="L464" s="53">
        <v>2569</v>
      </c>
      <c r="M464" s="52">
        <v>9.2726499361973622E-2</v>
      </c>
      <c r="N464" s="53">
        <v>2569</v>
      </c>
      <c r="O464" s="52">
        <v>9.2726499361973622E-2</v>
      </c>
      <c r="P464" s="51">
        <f t="shared" si="14"/>
        <v>1.5597508758271701</v>
      </c>
      <c r="Q464" s="50">
        <f t="shared" si="15"/>
        <v>22.517532113662508</v>
      </c>
      <c r="R464" s="39" t="s">
        <v>54</v>
      </c>
    </row>
    <row r="465" spans="1:18" x14ac:dyDescent="0.35">
      <c r="A465" s="54">
        <v>1250015</v>
      </c>
      <c r="B465" s="54">
        <v>108354</v>
      </c>
      <c r="C465" s="54" t="s">
        <v>413</v>
      </c>
      <c r="D465" s="51">
        <v>57495.599999999249</v>
      </c>
      <c r="E465" s="52"/>
      <c r="F465" s="51">
        <v>57495.599999999249</v>
      </c>
      <c r="G465" s="52"/>
      <c r="H465" s="53">
        <v>3431</v>
      </c>
      <c r="I465" s="52" t="s">
        <v>52</v>
      </c>
      <c r="J465" s="53">
        <v>3431</v>
      </c>
      <c r="K465" s="52"/>
      <c r="L465" s="53">
        <v>2159</v>
      </c>
      <c r="M465" s="52" t="s">
        <v>52</v>
      </c>
      <c r="N465" s="53">
        <v>2159</v>
      </c>
      <c r="O465" s="52"/>
      <c r="P465" s="51">
        <f t="shared" si="14"/>
        <v>1.5891616489115332</v>
      </c>
      <c r="Q465" s="50">
        <f t="shared" si="15"/>
        <v>26.63066234367728</v>
      </c>
      <c r="R465" s="39" t="s">
        <v>54</v>
      </c>
    </row>
    <row r="466" spans="1:18" x14ac:dyDescent="0.35">
      <c r="A466" s="54">
        <v>1240441</v>
      </c>
      <c r="B466" s="54">
        <v>108287</v>
      </c>
      <c r="C466" s="54" t="s">
        <v>85</v>
      </c>
      <c r="D466" s="51">
        <v>57377.639999999272</v>
      </c>
      <c r="E466" s="52"/>
      <c r="F466" s="51"/>
      <c r="G466" s="52"/>
      <c r="H466" s="53">
        <v>3932</v>
      </c>
      <c r="I466" s="52" t="s">
        <v>52</v>
      </c>
      <c r="J466" s="53"/>
      <c r="K466" s="52"/>
      <c r="L466" s="53">
        <v>2240</v>
      </c>
      <c r="M466" s="52" t="s">
        <v>52</v>
      </c>
      <c r="N466" s="53"/>
      <c r="O466" s="52"/>
      <c r="P466" s="51">
        <f t="shared" si="14"/>
        <v>1.7553571428571428</v>
      </c>
      <c r="Q466" s="50">
        <f t="shared" si="15"/>
        <v>25.615017857142533</v>
      </c>
      <c r="R466" s="39" t="s">
        <v>54</v>
      </c>
    </row>
    <row r="467" spans="1:18" x14ac:dyDescent="0.35">
      <c r="A467" s="54">
        <v>1240271</v>
      </c>
      <c r="B467" s="54">
        <v>104862</v>
      </c>
      <c r="C467" s="54" t="s">
        <v>412</v>
      </c>
      <c r="D467" s="51">
        <v>57318.319999999556</v>
      </c>
      <c r="E467" s="52">
        <v>0.13587612959275963</v>
      </c>
      <c r="F467" s="51">
        <v>57318.319999999556</v>
      </c>
      <c r="G467" s="52">
        <v>0.13587612959275963</v>
      </c>
      <c r="H467" s="53">
        <v>3865</v>
      </c>
      <c r="I467" s="52">
        <v>-2.3231801755291687E-3</v>
      </c>
      <c r="J467" s="53">
        <v>3865</v>
      </c>
      <c r="K467" s="52">
        <v>-2.3231801755291687E-3</v>
      </c>
      <c r="L467" s="53">
        <v>2684</v>
      </c>
      <c r="M467" s="52">
        <v>-2.2304832713754648E-3</v>
      </c>
      <c r="N467" s="53">
        <v>2684</v>
      </c>
      <c r="O467" s="52">
        <v>-2.2304832713754648E-3</v>
      </c>
      <c r="P467" s="51">
        <f t="shared" si="14"/>
        <v>1.4400149031296572</v>
      </c>
      <c r="Q467" s="50">
        <f t="shared" si="15"/>
        <v>21.355558867361982</v>
      </c>
      <c r="R467" s="39" t="s">
        <v>51</v>
      </c>
    </row>
    <row r="468" spans="1:18" x14ac:dyDescent="0.35">
      <c r="A468" s="54">
        <v>1230096</v>
      </c>
      <c r="B468" s="54">
        <v>105254</v>
      </c>
      <c r="C468" s="54" t="s">
        <v>411</v>
      </c>
      <c r="D468" s="51">
        <v>56852.919999999882</v>
      </c>
      <c r="E468" s="52">
        <v>-1.1476369847768376E-2</v>
      </c>
      <c r="F468" s="51">
        <v>56852.919999999882</v>
      </c>
      <c r="G468" s="52">
        <v>-1.1476369847768376E-2</v>
      </c>
      <c r="H468" s="53">
        <v>3470</v>
      </c>
      <c r="I468" s="52">
        <v>-7.7863406856231734E-2</v>
      </c>
      <c r="J468" s="53">
        <v>3470</v>
      </c>
      <c r="K468" s="52">
        <v>-7.7863406856231734E-2</v>
      </c>
      <c r="L468" s="53">
        <v>2584</v>
      </c>
      <c r="M468" s="52">
        <v>-5.4172767203513911E-2</v>
      </c>
      <c r="N468" s="53">
        <v>2584</v>
      </c>
      <c r="O468" s="52">
        <v>-5.4172767203513911E-2</v>
      </c>
      <c r="P468" s="51">
        <f t="shared" si="14"/>
        <v>1.3428792569659442</v>
      </c>
      <c r="Q468" s="50">
        <f t="shared" si="15"/>
        <v>22.001904024767757</v>
      </c>
      <c r="R468" s="39" t="s">
        <v>51</v>
      </c>
    </row>
    <row r="469" spans="1:18" x14ac:dyDescent="0.35">
      <c r="A469" s="54">
        <v>1080006</v>
      </c>
      <c r="B469" s="54">
        <v>107534</v>
      </c>
      <c r="C469" s="54" t="s">
        <v>410</v>
      </c>
      <c r="D469" s="51">
        <v>56743.320000000262</v>
      </c>
      <c r="E469" s="52"/>
      <c r="F469" s="51"/>
      <c r="G469" s="52"/>
      <c r="H469" s="53">
        <v>2546</v>
      </c>
      <c r="I469" s="52" t="s">
        <v>52</v>
      </c>
      <c r="J469" s="53"/>
      <c r="K469" s="52"/>
      <c r="L469" s="53">
        <v>2013</v>
      </c>
      <c r="M469" s="52" t="s">
        <v>52</v>
      </c>
      <c r="N469" s="53"/>
      <c r="O469" s="52"/>
      <c r="P469" s="51">
        <f t="shared" si="14"/>
        <v>1.2647789369100844</v>
      </c>
      <c r="Q469" s="50">
        <f t="shared" si="15"/>
        <v>28.188435171386121</v>
      </c>
      <c r="R469" s="39" t="s">
        <v>51</v>
      </c>
    </row>
    <row r="470" spans="1:18" x14ac:dyDescent="0.35">
      <c r="A470" s="54">
        <v>1240308</v>
      </c>
      <c r="B470" s="54">
        <v>105477</v>
      </c>
      <c r="C470" s="54" t="s">
        <v>409</v>
      </c>
      <c r="D470" s="51">
        <v>56652.709999999905</v>
      </c>
      <c r="E470" s="52">
        <v>3.8991589980901083E-2</v>
      </c>
      <c r="F470" s="51">
        <v>56652.709999999905</v>
      </c>
      <c r="G470" s="52">
        <v>3.8991589980901083E-2</v>
      </c>
      <c r="H470" s="53">
        <v>3568</v>
      </c>
      <c r="I470" s="52">
        <v>-4.8025613660618999E-2</v>
      </c>
      <c r="J470" s="53">
        <v>3568</v>
      </c>
      <c r="K470" s="52">
        <v>-4.8025613660618999E-2</v>
      </c>
      <c r="L470" s="53">
        <v>2596</v>
      </c>
      <c r="M470" s="52">
        <v>-1.0670731707317074E-2</v>
      </c>
      <c r="N470" s="53">
        <v>2596</v>
      </c>
      <c r="O470" s="52">
        <v>-1.0670731707317074E-2</v>
      </c>
      <c r="P470" s="51">
        <f t="shared" si="14"/>
        <v>1.3744221879815099</v>
      </c>
      <c r="Q470" s="50">
        <f t="shared" si="15"/>
        <v>21.823077812018454</v>
      </c>
      <c r="R470" s="39" t="s">
        <v>51</v>
      </c>
    </row>
    <row r="471" spans="1:18" x14ac:dyDescent="0.35">
      <c r="A471" s="54">
        <v>1240215</v>
      </c>
      <c r="B471" s="54">
        <v>105677</v>
      </c>
      <c r="C471" s="54" t="s">
        <v>408</v>
      </c>
      <c r="D471" s="51">
        <v>56172.64999999979</v>
      </c>
      <c r="E471" s="52">
        <v>9.3331924155895002E-2</v>
      </c>
      <c r="F471" s="51">
        <v>56172.64999999979</v>
      </c>
      <c r="G471" s="52">
        <v>9.3331924155895002E-2</v>
      </c>
      <c r="H471" s="53">
        <v>3755</v>
      </c>
      <c r="I471" s="52">
        <v>-1.288117770767613E-2</v>
      </c>
      <c r="J471" s="53">
        <v>3755</v>
      </c>
      <c r="K471" s="52">
        <v>-1.288117770767613E-2</v>
      </c>
      <c r="L471" s="53">
        <v>2693</v>
      </c>
      <c r="M471" s="52">
        <v>-8.1031307550644572E-3</v>
      </c>
      <c r="N471" s="53">
        <v>2693</v>
      </c>
      <c r="O471" s="52">
        <v>-8.1031307550644572E-3</v>
      </c>
      <c r="P471" s="51">
        <f t="shared" si="14"/>
        <v>1.3943557370961752</v>
      </c>
      <c r="Q471" s="50">
        <f t="shared" si="15"/>
        <v>20.858763460824282</v>
      </c>
      <c r="R471" s="39" t="s">
        <v>51</v>
      </c>
    </row>
    <row r="472" spans="1:18" x14ac:dyDescent="0.35">
      <c r="A472" s="54">
        <v>1240091</v>
      </c>
      <c r="B472" s="54">
        <v>100548</v>
      </c>
      <c r="C472" s="54" t="s">
        <v>407</v>
      </c>
      <c r="D472" s="51">
        <v>55818.799999999421</v>
      </c>
      <c r="E472" s="52">
        <v>7.1928073654673449E-2</v>
      </c>
      <c r="F472" s="51">
        <v>55818.799999999421</v>
      </c>
      <c r="G472" s="52">
        <v>7.1928073654673449E-2</v>
      </c>
      <c r="H472" s="53">
        <v>4021</v>
      </c>
      <c r="I472" s="52">
        <v>-2.4502668607472102E-2</v>
      </c>
      <c r="J472" s="53">
        <v>4021</v>
      </c>
      <c r="K472" s="52">
        <v>-2.4502668607472102E-2</v>
      </c>
      <c r="L472" s="53">
        <v>2352</v>
      </c>
      <c r="M472" s="52">
        <v>4.9531459170013385E-2</v>
      </c>
      <c r="N472" s="53">
        <v>2352</v>
      </c>
      <c r="O472" s="52">
        <v>4.9531459170013385E-2</v>
      </c>
      <c r="P472" s="51">
        <f t="shared" si="14"/>
        <v>1.709608843537415</v>
      </c>
      <c r="Q472" s="50">
        <f t="shared" si="15"/>
        <v>23.732482993197031</v>
      </c>
      <c r="R472" s="39" t="s">
        <v>54</v>
      </c>
    </row>
    <row r="473" spans="1:18" x14ac:dyDescent="0.35">
      <c r="A473" s="54">
        <v>1240307</v>
      </c>
      <c r="B473" s="54">
        <v>105474</v>
      </c>
      <c r="C473" s="54" t="s">
        <v>406</v>
      </c>
      <c r="D473" s="51">
        <v>55678.949999999757</v>
      </c>
      <c r="E473" s="52">
        <v>-1.8531732447546176E-2</v>
      </c>
      <c r="F473" s="51">
        <v>55678.949999999757</v>
      </c>
      <c r="G473" s="52">
        <v>-1.8531732447546176E-2</v>
      </c>
      <c r="H473" s="53">
        <v>3686</v>
      </c>
      <c r="I473" s="52">
        <v>-0.10512260257344015</v>
      </c>
      <c r="J473" s="53">
        <v>3686</v>
      </c>
      <c r="K473" s="52">
        <v>-0.10512260257344015</v>
      </c>
      <c r="L473" s="53">
        <v>2688</v>
      </c>
      <c r="M473" s="52">
        <v>-7.5971124097628046E-2</v>
      </c>
      <c r="N473" s="53">
        <v>2688</v>
      </c>
      <c r="O473" s="52">
        <v>-7.5971124097628046E-2</v>
      </c>
      <c r="P473" s="51">
        <f t="shared" si="14"/>
        <v>1.3712797619047619</v>
      </c>
      <c r="Q473" s="50">
        <f t="shared" si="15"/>
        <v>20.713895089285625</v>
      </c>
      <c r="R473" s="39" t="s">
        <v>51</v>
      </c>
    </row>
    <row r="474" spans="1:18" x14ac:dyDescent="0.35">
      <c r="A474" s="54">
        <v>1240022</v>
      </c>
      <c r="B474" s="54">
        <v>100907</v>
      </c>
      <c r="C474" s="54" t="s">
        <v>405</v>
      </c>
      <c r="D474" s="51">
        <v>55572.529999999664</v>
      </c>
      <c r="E474" s="52">
        <v>0.11598439821619494</v>
      </c>
      <c r="F474" s="51">
        <v>55572.529999999664</v>
      </c>
      <c r="G474" s="52">
        <v>0.11598439821619494</v>
      </c>
      <c r="H474" s="53">
        <v>3842</v>
      </c>
      <c r="I474" s="52">
        <v>-4.6632124352331602E-3</v>
      </c>
      <c r="J474" s="53">
        <v>3842</v>
      </c>
      <c r="K474" s="52">
        <v>-4.6632124352331602E-3</v>
      </c>
      <c r="L474" s="53">
        <v>2610</v>
      </c>
      <c r="M474" s="52">
        <v>-4.1968714231209459E-3</v>
      </c>
      <c r="N474" s="53">
        <v>2610</v>
      </c>
      <c r="O474" s="52">
        <v>-4.1968714231209459E-3</v>
      </c>
      <c r="P474" s="51">
        <f t="shared" si="14"/>
        <v>1.4720306513409962</v>
      </c>
      <c r="Q474" s="50">
        <f t="shared" si="15"/>
        <v>21.292157088122476</v>
      </c>
      <c r="R474" s="39" t="s">
        <v>51</v>
      </c>
    </row>
    <row r="475" spans="1:18" x14ac:dyDescent="0.35">
      <c r="A475" s="54">
        <v>1240332</v>
      </c>
      <c r="B475" s="54">
        <v>106854</v>
      </c>
      <c r="C475" s="54" t="s">
        <v>404</v>
      </c>
      <c r="D475" s="51">
        <v>55350.349999999984</v>
      </c>
      <c r="E475" s="52">
        <v>0.33757366879034589</v>
      </c>
      <c r="F475" s="51">
        <v>55350.349999999984</v>
      </c>
      <c r="G475" s="52">
        <v>0.33757366879034589</v>
      </c>
      <c r="H475" s="53">
        <v>3364</v>
      </c>
      <c r="I475" s="52">
        <v>0.21050737675422815</v>
      </c>
      <c r="J475" s="53">
        <v>3364</v>
      </c>
      <c r="K475" s="52">
        <v>0.21050737675422815</v>
      </c>
      <c r="L475" s="53">
        <v>2184</v>
      </c>
      <c r="M475" s="52">
        <v>0.21671309192200558</v>
      </c>
      <c r="N475" s="53">
        <v>2184</v>
      </c>
      <c r="O475" s="52">
        <v>0.21671309192200558</v>
      </c>
      <c r="P475" s="51">
        <f t="shared" si="14"/>
        <v>1.5402930402930404</v>
      </c>
      <c r="Q475" s="50">
        <f t="shared" si="15"/>
        <v>25.343566849816842</v>
      </c>
      <c r="R475" s="39" t="s">
        <v>54</v>
      </c>
    </row>
    <row r="476" spans="1:18" x14ac:dyDescent="0.35">
      <c r="A476" s="54">
        <v>1210028</v>
      </c>
      <c r="B476" s="54">
        <v>103779</v>
      </c>
      <c r="C476" s="54" t="s">
        <v>403</v>
      </c>
      <c r="D476" s="51">
        <v>55199.639999999767</v>
      </c>
      <c r="E476" s="52">
        <v>0.24578225479934587</v>
      </c>
      <c r="F476" s="51">
        <v>55199.639999999767</v>
      </c>
      <c r="G476" s="52">
        <v>0.24578225479934587</v>
      </c>
      <c r="H476" s="53">
        <v>3708</v>
      </c>
      <c r="I476" s="52">
        <v>8.8986784140969166E-2</v>
      </c>
      <c r="J476" s="53">
        <v>3708</v>
      </c>
      <c r="K476" s="52">
        <v>8.8986784140969166E-2</v>
      </c>
      <c r="L476" s="53">
        <v>2559</v>
      </c>
      <c r="M476" s="52">
        <v>4.7054009819967269E-2</v>
      </c>
      <c r="N476" s="53">
        <v>2559</v>
      </c>
      <c r="O476" s="52">
        <v>4.7054009819967269E-2</v>
      </c>
      <c r="P476" s="51">
        <f t="shared" si="14"/>
        <v>1.4490035169988276</v>
      </c>
      <c r="Q476" s="50">
        <f t="shared" si="15"/>
        <v>21.57078546307142</v>
      </c>
      <c r="R476" s="39" t="s">
        <v>51</v>
      </c>
    </row>
    <row r="477" spans="1:18" x14ac:dyDescent="0.35">
      <c r="A477" s="54">
        <v>1240386</v>
      </c>
      <c r="B477" s="54">
        <v>106926</v>
      </c>
      <c r="C477" s="54" t="s">
        <v>402</v>
      </c>
      <c r="D477" s="51">
        <v>55149.029999999766</v>
      </c>
      <c r="E477" s="52">
        <v>0.1595104446080661</v>
      </c>
      <c r="F477" s="51">
        <v>55149.029999999766</v>
      </c>
      <c r="G477" s="52">
        <v>0.1595104446080661</v>
      </c>
      <c r="H477" s="53">
        <v>3088</v>
      </c>
      <c r="I477" s="52">
        <v>7.7084059993024062E-2</v>
      </c>
      <c r="J477" s="53">
        <v>3088</v>
      </c>
      <c r="K477" s="52">
        <v>7.7084059993024062E-2</v>
      </c>
      <c r="L477" s="53">
        <v>2138</v>
      </c>
      <c r="M477" s="52">
        <v>0.12763713080168776</v>
      </c>
      <c r="N477" s="53">
        <v>2138</v>
      </c>
      <c r="O477" s="52">
        <v>0.12763713080168776</v>
      </c>
      <c r="P477" s="51">
        <f t="shared" si="14"/>
        <v>1.4443405051449953</v>
      </c>
      <c r="Q477" s="50">
        <f t="shared" si="15"/>
        <v>25.794681945743577</v>
      </c>
      <c r="R477" s="39" t="s">
        <v>51</v>
      </c>
    </row>
    <row r="478" spans="1:18" x14ac:dyDescent="0.35">
      <c r="A478" s="54">
        <v>1250028</v>
      </c>
      <c r="B478" s="54">
        <v>106527</v>
      </c>
      <c r="C478" s="54" t="s">
        <v>401</v>
      </c>
      <c r="D478" s="51">
        <v>55031.769999999946</v>
      </c>
      <c r="E478" s="52">
        <v>-5.7271928986061871E-2</v>
      </c>
      <c r="F478" s="51">
        <v>55031.769999999946</v>
      </c>
      <c r="G478" s="52">
        <v>-5.7271928986061871E-2</v>
      </c>
      <c r="H478" s="53">
        <v>3200</v>
      </c>
      <c r="I478" s="52">
        <v>-0.12256649300795174</v>
      </c>
      <c r="J478" s="53">
        <v>3200</v>
      </c>
      <c r="K478" s="52">
        <v>-0.12256649300795174</v>
      </c>
      <c r="L478" s="53">
        <v>2117</v>
      </c>
      <c r="M478" s="52">
        <v>-0.14326183731282882</v>
      </c>
      <c r="N478" s="53">
        <v>2117</v>
      </c>
      <c r="O478" s="52">
        <v>-0.14326183731282882</v>
      </c>
      <c r="P478" s="51">
        <f t="shared" si="14"/>
        <v>1.5115729806329712</v>
      </c>
      <c r="Q478" s="50">
        <f t="shared" si="15"/>
        <v>25.995167690127513</v>
      </c>
      <c r="R478" s="39" t="s">
        <v>54</v>
      </c>
    </row>
    <row r="479" spans="1:18" x14ac:dyDescent="0.35">
      <c r="A479" s="54">
        <v>1240062</v>
      </c>
      <c r="B479" s="54">
        <v>101972</v>
      </c>
      <c r="C479" s="54" t="s">
        <v>400</v>
      </c>
      <c r="D479" s="51">
        <v>54990.859999999717</v>
      </c>
      <c r="E479" s="52">
        <v>0.25009030562059115</v>
      </c>
      <c r="F479" s="51">
        <v>54990.859999999717</v>
      </c>
      <c r="G479" s="52">
        <v>0.25009030562059115</v>
      </c>
      <c r="H479" s="53">
        <v>3427</v>
      </c>
      <c r="I479" s="52">
        <v>0.1044150821785369</v>
      </c>
      <c r="J479" s="53">
        <v>3427</v>
      </c>
      <c r="K479" s="52">
        <v>0.1044150821785369</v>
      </c>
      <c r="L479" s="53">
        <v>2355</v>
      </c>
      <c r="M479" s="52">
        <v>0.10823529411764705</v>
      </c>
      <c r="N479" s="53">
        <v>2355</v>
      </c>
      <c r="O479" s="52">
        <v>0.10823529411764705</v>
      </c>
      <c r="P479" s="51">
        <f t="shared" si="14"/>
        <v>1.4552016985138003</v>
      </c>
      <c r="Q479" s="50">
        <f t="shared" si="15"/>
        <v>23.350683651804552</v>
      </c>
      <c r="R479" s="39" t="s">
        <v>51</v>
      </c>
    </row>
    <row r="480" spans="1:18" x14ac:dyDescent="0.35">
      <c r="A480" s="54">
        <v>1240011</v>
      </c>
      <c r="B480" s="54">
        <v>104592</v>
      </c>
      <c r="C480" s="54" t="s">
        <v>399</v>
      </c>
      <c r="D480" s="51">
        <v>54884.419999999925</v>
      </c>
      <c r="E480" s="52">
        <v>0.34628240856234588</v>
      </c>
      <c r="F480" s="51">
        <v>54884.419999999925</v>
      </c>
      <c r="G480" s="52">
        <v>0.34628240856234588</v>
      </c>
      <c r="H480" s="53">
        <v>3574</v>
      </c>
      <c r="I480" s="52">
        <v>0.25359522974394949</v>
      </c>
      <c r="J480" s="53">
        <v>3574</v>
      </c>
      <c r="K480" s="52">
        <v>0.25359522974394949</v>
      </c>
      <c r="L480" s="53">
        <v>2611</v>
      </c>
      <c r="M480" s="52">
        <v>0.20823692734844979</v>
      </c>
      <c r="N480" s="53">
        <v>2611</v>
      </c>
      <c r="O480" s="52">
        <v>0.20823692734844979</v>
      </c>
      <c r="P480" s="51">
        <f t="shared" si="14"/>
        <v>1.3688242052853312</v>
      </c>
      <c r="Q480" s="50">
        <f t="shared" si="15"/>
        <v>21.020459594025247</v>
      </c>
      <c r="R480" s="39" t="s">
        <v>51</v>
      </c>
    </row>
    <row r="481" spans="1:18" x14ac:dyDescent="0.35">
      <c r="A481" s="54">
        <v>1180006</v>
      </c>
      <c r="B481" s="54">
        <v>105561</v>
      </c>
      <c r="C481" s="54" t="s">
        <v>398</v>
      </c>
      <c r="D481" s="51">
        <v>54755.630000000012</v>
      </c>
      <c r="E481" s="52">
        <v>6.2151902171809471E-2</v>
      </c>
      <c r="F481" s="51">
        <v>54755.630000000012</v>
      </c>
      <c r="G481" s="52">
        <v>6.2151902171809471E-2</v>
      </c>
      <c r="H481" s="53">
        <v>2834</v>
      </c>
      <c r="I481" s="52">
        <v>-2.8453890983887557E-2</v>
      </c>
      <c r="J481" s="53">
        <v>2834</v>
      </c>
      <c r="K481" s="52">
        <v>-2.8453890983887557E-2</v>
      </c>
      <c r="L481" s="53">
        <v>1589</v>
      </c>
      <c r="M481" s="52">
        <v>-0.17239583333333333</v>
      </c>
      <c r="N481" s="53">
        <v>1589</v>
      </c>
      <c r="O481" s="52">
        <v>-0.17239583333333333</v>
      </c>
      <c r="P481" s="51">
        <f t="shared" si="14"/>
        <v>1.7835116425424795</v>
      </c>
      <c r="Q481" s="50">
        <f t="shared" si="15"/>
        <v>34.459175582127131</v>
      </c>
      <c r="R481" s="39" t="s">
        <v>54</v>
      </c>
    </row>
    <row r="482" spans="1:18" x14ac:dyDescent="0.35">
      <c r="A482" s="54">
        <v>1240430</v>
      </c>
      <c r="B482" s="54">
        <v>107834</v>
      </c>
      <c r="C482" s="54" t="s">
        <v>397</v>
      </c>
      <c r="D482" s="51">
        <v>54549.06000000026</v>
      </c>
      <c r="E482" s="52"/>
      <c r="F482" s="51"/>
      <c r="G482" s="52"/>
      <c r="H482" s="53">
        <v>2773</v>
      </c>
      <c r="I482" s="52" t="s">
        <v>52</v>
      </c>
      <c r="J482" s="53"/>
      <c r="K482" s="52"/>
      <c r="L482" s="53">
        <v>2025</v>
      </c>
      <c r="M482" s="52" t="s">
        <v>52</v>
      </c>
      <c r="N482" s="53"/>
      <c r="O482" s="52"/>
      <c r="P482" s="51">
        <f t="shared" si="14"/>
        <v>1.3693827160493828</v>
      </c>
      <c r="Q482" s="50">
        <f t="shared" si="15"/>
        <v>26.937807407407536</v>
      </c>
      <c r="R482" s="39" t="s">
        <v>51</v>
      </c>
    </row>
    <row r="483" spans="1:18" x14ac:dyDescent="0.35">
      <c r="A483" s="54">
        <v>1230086</v>
      </c>
      <c r="B483" s="54">
        <v>104455</v>
      </c>
      <c r="C483" s="54" t="s">
        <v>396</v>
      </c>
      <c r="D483" s="51">
        <v>54507.149999999354</v>
      </c>
      <c r="E483" s="52">
        <v>-5.9596183185958419E-2</v>
      </c>
      <c r="F483" s="51">
        <v>54507.149999999354</v>
      </c>
      <c r="G483" s="52">
        <v>-5.9596183185958419E-2</v>
      </c>
      <c r="H483" s="53">
        <v>3737</v>
      </c>
      <c r="I483" s="52">
        <v>-0.12991850989522702</v>
      </c>
      <c r="J483" s="53">
        <v>3737</v>
      </c>
      <c r="K483" s="52">
        <v>-0.12991850989522702</v>
      </c>
      <c r="L483" s="53">
        <v>2641</v>
      </c>
      <c r="M483" s="52">
        <v>-9.6785225718194257E-2</v>
      </c>
      <c r="N483" s="53">
        <v>2641</v>
      </c>
      <c r="O483" s="52">
        <v>-9.6785225718194257E-2</v>
      </c>
      <c r="P483" s="51">
        <f t="shared" si="14"/>
        <v>1.4149943203332072</v>
      </c>
      <c r="Q483" s="50">
        <f t="shared" si="15"/>
        <v>20.638829988640421</v>
      </c>
      <c r="R483" s="39" t="s">
        <v>51</v>
      </c>
    </row>
    <row r="484" spans="1:18" x14ac:dyDescent="0.35">
      <c r="A484" s="54">
        <v>1240325</v>
      </c>
      <c r="B484" s="54">
        <v>105678</v>
      </c>
      <c r="C484" s="54" t="s">
        <v>395</v>
      </c>
      <c r="D484" s="51">
        <v>54357.699999999706</v>
      </c>
      <c r="E484" s="52">
        <v>-0.10623333262631178</v>
      </c>
      <c r="F484" s="51">
        <v>54357.699999999706</v>
      </c>
      <c r="G484" s="52">
        <v>-0.10623333262631178</v>
      </c>
      <c r="H484" s="53">
        <v>3433</v>
      </c>
      <c r="I484" s="52">
        <v>-0.18994808872109487</v>
      </c>
      <c r="J484" s="53">
        <v>3433</v>
      </c>
      <c r="K484" s="52">
        <v>-0.18994808872109487</v>
      </c>
      <c r="L484" s="53">
        <v>2374</v>
      </c>
      <c r="M484" s="52">
        <v>-0.17712305025996533</v>
      </c>
      <c r="N484" s="53">
        <v>2374</v>
      </c>
      <c r="O484" s="52">
        <v>-0.17712305025996533</v>
      </c>
      <c r="P484" s="51">
        <f t="shared" si="14"/>
        <v>1.4460825610783488</v>
      </c>
      <c r="Q484" s="50">
        <f t="shared" si="15"/>
        <v>22.897093513058007</v>
      </c>
      <c r="R484" s="39" t="s">
        <v>51</v>
      </c>
    </row>
    <row r="485" spans="1:18" x14ac:dyDescent="0.35">
      <c r="A485" s="54">
        <v>1230010</v>
      </c>
      <c r="B485" s="54">
        <v>107967</v>
      </c>
      <c r="C485" s="54" t="s">
        <v>394</v>
      </c>
      <c r="D485" s="51">
        <v>54313.049999999843</v>
      </c>
      <c r="E485" s="52"/>
      <c r="F485" s="51">
        <v>54313.049999999843</v>
      </c>
      <c r="G485" s="52"/>
      <c r="H485" s="53">
        <v>3795</v>
      </c>
      <c r="I485" s="52" t="s">
        <v>52</v>
      </c>
      <c r="J485" s="53">
        <v>3795</v>
      </c>
      <c r="K485" s="52"/>
      <c r="L485" s="53">
        <v>2870</v>
      </c>
      <c r="M485" s="52" t="s">
        <v>52</v>
      </c>
      <c r="N485" s="53">
        <v>2870</v>
      </c>
      <c r="O485" s="52"/>
      <c r="P485" s="51">
        <f t="shared" si="14"/>
        <v>1.3222996515679442</v>
      </c>
      <c r="Q485" s="50">
        <f t="shared" si="15"/>
        <v>18.924407665505171</v>
      </c>
      <c r="R485" s="39" t="s">
        <v>51</v>
      </c>
    </row>
    <row r="486" spans="1:18" x14ac:dyDescent="0.35">
      <c r="A486" s="54">
        <v>1170014</v>
      </c>
      <c r="B486" s="54">
        <v>107314</v>
      </c>
      <c r="C486" s="54" t="s">
        <v>393</v>
      </c>
      <c r="D486" s="51">
        <v>54105.470000000074</v>
      </c>
      <c r="E486" s="52">
        <v>-0.14687861672705507</v>
      </c>
      <c r="F486" s="51">
        <v>54105.470000000074</v>
      </c>
      <c r="G486" s="52">
        <v>-0.14687861672705507</v>
      </c>
      <c r="H486" s="53">
        <v>2692</v>
      </c>
      <c r="I486" s="52">
        <v>-0.17901799329063739</v>
      </c>
      <c r="J486" s="53">
        <v>2692</v>
      </c>
      <c r="K486" s="52">
        <v>-0.17901799329063739</v>
      </c>
      <c r="L486" s="53">
        <v>1921</v>
      </c>
      <c r="M486" s="52">
        <v>-0.18601694915254238</v>
      </c>
      <c r="N486" s="53">
        <v>1921</v>
      </c>
      <c r="O486" s="52">
        <v>-0.18601694915254238</v>
      </c>
      <c r="P486" s="51">
        <f t="shared" si="14"/>
        <v>1.4013534617386778</v>
      </c>
      <c r="Q486" s="50">
        <f t="shared" si="15"/>
        <v>28.165262883914668</v>
      </c>
      <c r="R486" s="39" t="s">
        <v>51</v>
      </c>
    </row>
    <row r="487" spans="1:18" x14ac:dyDescent="0.35">
      <c r="A487" s="54">
        <v>1160014</v>
      </c>
      <c r="B487" s="54">
        <v>104540</v>
      </c>
      <c r="C487" s="54" t="s">
        <v>392</v>
      </c>
      <c r="D487" s="51">
        <v>53934.479999999676</v>
      </c>
      <c r="E487" s="52">
        <v>-0.15341158720493878</v>
      </c>
      <c r="F487" s="51">
        <v>53934.479999999676</v>
      </c>
      <c r="G487" s="52">
        <v>-0.15341158720493878</v>
      </c>
      <c r="H487" s="53">
        <v>3765</v>
      </c>
      <c r="I487" s="52">
        <v>-0.19568468276009399</v>
      </c>
      <c r="J487" s="53">
        <v>3765</v>
      </c>
      <c r="K487" s="52">
        <v>-0.19568468276009399</v>
      </c>
      <c r="L487" s="53">
        <v>2714</v>
      </c>
      <c r="M487" s="52">
        <v>-0.1720561317876754</v>
      </c>
      <c r="N487" s="53">
        <v>2714</v>
      </c>
      <c r="O487" s="52">
        <v>-0.1720561317876754</v>
      </c>
      <c r="P487" s="51">
        <f t="shared" si="14"/>
        <v>1.3872512896094327</v>
      </c>
      <c r="Q487" s="50">
        <f t="shared" si="15"/>
        <v>19.872689756816388</v>
      </c>
      <c r="R487" s="39" t="s">
        <v>51</v>
      </c>
    </row>
    <row r="488" spans="1:18" x14ac:dyDescent="0.35">
      <c r="A488" s="54">
        <v>1230110</v>
      </c>
      <c r="B488" s="54">
        <v>106669</v>
      </c>
      <c r="C488" s="54" t="s">
        <v>391</v>
      </c>
      <c r="D488" s="51">
        <v>53692.15999999964</v>
      </c>
      <c r="E488" s="52">
        <v>0.25831051482492112</v>
      </c>
      <c r="F488" s="51">
        <v>53692.15999999964</v>
      </c>
      <c r="G488" s="52">
        <v>0.25831051482492112</v>
      </c>
      <c r="H488" s="53">
        <v>2849</v>
      </c>
      <c r="I488" s="52">
        <v>0.14417670682730924</v>
      </c>
      <c r="J488" s="53">
        <v>2849</v>
      </c>
      <c r="K488" s="52">
        <v>0.14417670682730924</v>
      </c>
      <c r="L488" s="53">
        <v>1842</v>
      </c>
      <c r="M488" s="52">
        <v>0.10365488316357101</v>
      </c>
      <c r="N488" s="53">
        <v>1842</v>
      </c>
      <c r="O488" s="52">
        <v>0.10365488316357101</v>
      </c>
      <c r="P488" s="51">
        <f t="shared" si="14"/>
        <v>1.5466883821932682</v>
      </c>
      <c r="Q488" s="50">
        <f t="shared" si="15"/>
        <v>29.148838219326624</v>
      </c>
      <c r="R488" s="39" t="s">
        <v>54</v>
      </c>
    </row>
    <row r="489" spans="1:18" x14ac:dyDescent="0.35">
      <c r="A489" s="54">
        <v>1240326</v>
      </c>
      <c r="B489" s="54">
        <v>105680</v>
      </c>
      <c r="C489" s="54" t="s">
        <v>390</v>
      </c>
      <c r="D489" s="51">
        <v>53501.429999999586</v>
      </c>
      <c r="E489" s="52">
        <v>0.12191609759779706</v>
      </c>
      <c r="F489" s="51">
        <v>53501.429999999586</v>
      </c>
      <c r="G489" s="52">
        <v>0.12191609759779706</v>
      </c>
      <c r="H489" s="53">
        <v>3686</v>
      </c>
      <c r="I489" s="52">
        <v>3.104895104895105E-2</v>
      </c>
      <c r="J489" s="53">
        <v>3686</v>
      </c>
      <c r="K489" s="52">
        <v>3.104895104895105E-2</v>
      </c>
      <c r="L489" s="53">
        <v>2660</v>
      </c>
      <c r="M489" s="52">
        <v>3.1807602792862683E-2</v>
      </c>
      <c r="N489" s="53">
        <v>2660</v>
      </c>
      <c r="O489" s="52">
        <v>3.1807602792862683E-2</v>
      </c>
      <c r="P489" s="51">
        <f t="shared" si="14"/>
        <v>1.3857142857142857</v>
      </c>
      <c r="Q489" s="50">
        <f t="shared" si="15"/>
        <v>20.113319548872024</v>
      </c>
      <c r="R489" s="39" t="s">
        <v>51</v>
      </c>
    </row>
    <row r="490" spans="1:18" x14ac:dyDescent="0.35">
      <c r="A490" s="54">
        <v>1190014</v>
      </c>
      <c r="B490" s="54">
        <v>104866</v>
      </c>
      <c r="C490" s="54" t="s">
        <v>389</v>
      </c>
      <c r="D490" s="51">
        <v>53470.059999999823</v>
      </c>
      <c r="E490" s="52">
        <v>0.10871903801365704</v>
      </c>
      <c r="F490" s="51">
        <v>53470.059999999823</v>
      </c>
      <c r="G490" s="52">
        <v>0.10871903801365704</v>
      </c>
      <c r="H490" s="53">
        <v>3092</v>
      </c>
      <c r="I490" s="52">
        <v>8.809135399673736E-3</v>
      </c>
      <c r="J490" s="53">
        <v>3092</v>
      </c>
      <c r="K490" s="52">
        <v>8.809135399673736E-3</v>
      </c>
      <c r="L490" s="53">
        <v>2180</v>
      </c>
      <c r="M490" s="52">
        <v>5.569007263922518E-2</v>
      </c>
      <c r="N490" s="53">
        <v>2180</v>
      </c>
      <c r="O490" s="52">
        <v>5.569007263922518E-2</v>
      </c>
      <c r="P490" s="51">
        <f t="shared" si="14"/>
        <v>1.418348623853211</v>
      </c>
      <c r="Q490" s="50">
        <f t="shared" si="15"/>
        <v>24.527550458715517</v>
      </c>
      <c r="R490" s="39" t="s">
        <v>51</v>
      </c>
    </row>
    <row r="491" spans="1:18" x14ac:dyDescent="0.35">
      <c r="A491" s="54">
        <v>1240278</v>
      </c>
      <c r="B491" s="54">
        <v>105466</v>
      </c>
      <c r="C491" s="54" t="s">
        <v>388</v>
      </c>
      <c r="D491" s="51">
        <v>53423.689999999769</v>
      </c>
      <c r="E491" s="52">
        <v>-0.19349901239890541</v>
      </c>
      <c r="F491" s="51">
        <v>53423.689999999769</v>
      </c>
      <c r="G491" s="52">
        <v>-0.19349901239890541</v>
      </c>
      <c r="H491" s="53">
        <v>3573</v>
      </c>
      <c r="I491" s="52">
        <v>-0.23849104859335038</v>
      </c>
      <c r="J491" s="53">
        <v>3573</v>
      </c>
      <c r="K491" s="52">
        <v>-0.23849104859335038</v>
      </c>
      <c r="L491" s="53">
        <v>2370</v>
      </c>
      <c r="M491" s="52">
        <v>-0.20868113522537562</v>
      </c>
      <c r="N491" s="53">
        <v>2370</v>
      </c>
      <c r="O491" s="52">
        <v>-0.20868113522537562</v>
      </c>
      <c r="P491" s="51">
        <f t="shared" si="14"/>
        <v>1.5075949367088608</v>
      </c>
      <c r="Q491" s="50">
        <f t="shared" si="15"/>
        <v>22.541641350210874</v>
      </c>
      <c r="R491" s="39" t="s">
        <v>54</v>
      </c>
    </row>
    <row r="492" spans="1:18" x14ac:dyDescent="0.35">
      <c r="A492" s="54">
        <v>1240387</v>
      </c>
      <c r="B492" s="54">
        <v>106932</v>
      </c>
      <c r="C492" s="54" t="s">
        <v>387</v>
      </c>
      <c r="D492" s="51">
        <v>53418.999999999505</v>
      </c>
      <c r="E492" s="52">
        <v>4.2392397567348993E-3</v>
      </c>
      <c r="F492" s="51">
        <v>53418.999999999505</v>
      </c>
      <c r="G492" s="52">
        <v>4.2392397567348993E-3</v>
      </c>
      <c r="H492" s="53">
        <v>3541</v>
      </c>
      <c r="I492" s="52">
        <v>-5.1941097724230258E-2</v>
      </c>
      <c r="J492" s="53">
        <v>3541</v>
      </c>
      <c r="K492" s="52">
        <v>-5.1941097724230258E-2</v>
      </c>
      <c r="L492" s="53">
        <v>2325</v>
      </c>
      <c r="M492" s="52">
        <v>-6.0226354082457557E-2</v>
      </c>
      <c r="N492" s="53">
        <v>2325</v>
      </c>
      <c r="O492" s="52">
        <v>-6.0226354082457557E-2</v>
      </c>
      <c r="P492" s="51">
        <f t="shared" si="14"/>
        <v>1.523010752688172</v>
      </c>
      <c r="Q492" s="50">
        <f t="shared" si="15"/>
        <v>22.975913978494411</v>
      </c>
      <c r="R492" s="39" t="s">
        <v>54</v>
      </c>
    </row>
    <row r="493" spans="1:18" x14ac:dyDescent="0.35">
      <c r="A493" s="54">
        <v>1260026</v>
      </c>
      <c r="B493" s="54">
        <v>105500</v>
      </c>
      <c r="C493" s="54" t="s">
        <v>386</v>
      </c>
      <c r="D493" s="51">
        <v>53371.090000000273</v>
      </c>
      <c r="E493" s="52">
        <v>6.2414851288852602E-2</v>
      </c>
      <c r="F493" s="51">
        <v>53371.090000000273</v>
      </c>
      <c r="G493" s="52">
        <v>6.2414851288852602E-2</v>
      </c>
      <c r="H493" s="53">
        <v>2740</v>
      </c>
      <c r="I493" s="52">
        <v>-3.3168666196189134E-2</v>
      </c>
      <c r="J493" s="53">
        <v>2740</v>
      </c>
      <c r="K493" s="52">
        <v>-3.3168666196189134E-2</v>
      </c>
      <c r="L493" s="53">
        <v>1810</v>
      </c>
      <c r="M493" s="52">
        <v>-6.0228452751817235E-2</v>
      </c>
      <c r="N493" s="53">
        <v>1810</v>
      </c>
      <c r="O493" s="52">
        <v>-6.0228452751817235E-2</v>
      </c>
      <c r="P493" s="51">
        <f t="shared" si="14"/>
        <v>1.5138121546961325</v>
      </c>
      <c r="Q493" s="50">
        <f t="shared" si="15"/>
        <v>29.486790055248768</v>
      </c>
      <c r="R493" s="39" t="s">
        <v>54</v>
      </c>
    </row>
    <row r="494" spans="1:18" x14ac:dyDescent="0.35">
      <c r="A494" s="54">
        <v>1230133</v>
      </c>
      <c r="B494" s="54">
        <v>107749</v>
      </c>
      <c r="C494" s="54" t="s">
        <v>385</v>
      </c>
      <c r="D494" s="51">
        <v>53130.869999999552</v>
      </c>
      <c r="E494" s="52"/>
      <c r="F494" s="51"/>
      <c r="G494" s="52"/>
      <c r="H494" s="53">
        <v>3581</v>
      </c>
      <c r="I494" s="52" t="s">
        <v>52</v>
      </c>
      <c r="J494" s="53"/>
      <c r="K494" s="52"/>
      <c r="L494" s="53">
        <v>2580</v>
      </c>
      <c r="M494" s="52" t="s">
        <v>52</v>
      </c>
      <c r="N494" s="53"/>
      <c r="O494" s="52"/>
      <c r="P494" s="51">
        <f t="shared" si="14"/>
        <v>1.3879844961240311</v>
      </c>
      <c r="Q494" s="50">
        <f t="shared" si="15"/>
        <v>20.593360465116106</v>
      </c>
      <c r="R494" s="39" t="s">
        <v>51</v>
      </c>
    </row>
    <row r="495" spans="1:18" x14ac:dyDescent="0.35">
      <c r="A495" s="54">
        <v>1210086</v>
      </c>
      <c r="B495" s="54">
        <v>107359</v>
      </c>
      <c r="C495" s="54" t="s">
        <v>384</v>
      </c>
      <c r="D495" s="51">
        <v>53078.349999999838</v>
      </c>
      <c r="E495" s="52">
        <v>1.1655731705376617</v>
      </c>
      <c r="F495" s="51">
        <v>28251.539999999753</v>
      </c>
      <c r="G495" s="52">
        <v>0.15265031882813287</v>
      </c>
      <c r="H495" s="53">
        <v>3127</v>
      </c>
      <c r="I495" s="52">
        <v>1.1775766016713092</v>
      </c>
      <c r="J495" s="53">
        <v>1674</v>
      </c>
      <c r="K495" s="52">
        <v>0.16573816155988857</v>
      </c>
      <c r="L495" s="53">
        <v>2279</v>
      </c>
      <c r="M495" s="52">
        <v>1.1622390891840608</v>
      </c>
      <c r="N495" s="53">
        <v>1242</v>
      </c>
      <c r="O495" s="52">
        <v>0.17836812144212524</v>
      </c>
      <c r="P495" s="51">
        <f t="shared" si="14"/>
        <v>1.3720930232558139</v>
      </c>
      <c r="Q495" s="50">
        <f t="shared" si="15"/>
        <v>23.290193067134638</v>
      </c>
      <c r="R495" s="39" t="s">
        <v>51</v>
      </c>
    </row>
    <row r="496" spans="1:18" x14ac:dyDescent="0.35">
      <c r="A496" s="54">
        <v>1200013</v>
      </c>
      <c r="B496" s="54">
        <v>104063</v>
      </c>
      <c r="C496" s="54" t="s">
        <v>383</v>
      </c>
      <c r="D496" s="51">
        <v>52967.659999999887</v>
      </c>
      <c r="E496" s="52">
        <v>0.1964503812569412</v>
      </c>
      <c r="F496" s="51">
        <v>52967.659999999887</v>
      </c>
      <c r="G496" s="52">
        <v>0.1964503812569412</v>
      </c>
      <c r="H496" s="53">
        <v>3167</v>
      </c>
      <c r="I496" s="52">
        <v>6.8128161888701522E-2</v>
      </c>
      <c r="J496" s="53">
        <v>3167</v>
      </c>
      <c r="K496" s="52">
        <v>6.8128161888701522E-2</v>
      </c>
      <c r="L496" s="53">
        <v>2273</v>
      </c>
      <c r="M496" s="52">
        <v>8.1865778200856734E-2</v>
      </c>
      <c r="N496" s="53">
        <v>2273</v>
      </c>
      <c r="O496" s="52">
        <v>8.1865778200856734E-2</v>
      </c>
      <c r="P496" s="51">
        <f t="shared" si="14"/>
        <v>1.3933128024637043</v>
      </c>
      <c r="Q496" s="50">
        <f t="shared" si="15"/>
        <v>23.302974043114776</v>
      </c>
      <c r="R496" s="39" t="s">
        <v>51</v>
      </c>
    </row>
    <row r="497" spans="1:18" x14ac:dyDescent="0.35">
      <c r="A497" s="54">
        <v>1210069</v>
      </c>
      <c r="B497" s="54">
        <v>106187</v>
      </c>
      <c r="C497" s="54" t="s">
        <v>382</v>
      </c>
      <c r="D497" s="51">
        <v>52887.309999999648</v>
      </c>
      <c r="E497" s="52"/>
      <c r="F497" s="51">
        <v>52887.309999999648</v>
      </c>
      <c r="G497" s="52"/>
      <c r="H497" s="53">
        <v>4211</v>
      </c>
      <c r="I497" s="52" t="s">
        <v>52</v>
      </c>
      <c r="J497" s="53">
        <v>4211</v>
      </c>
      <c r="K497" s="52"/>
      <c r="L497" s="53">
        <v>2818</v>
      </c>
      <c r="M497" s="52" t="s">
        <v>52</v>
      </c>
      <c r="N497" s="53">
        <v>2818</v>
      </c>
      <c r="O497" s="52"/>
      <c r="P497" s="51">
        <f t="shared" si="14"/>
        <v>1.4943222143364088</v>
      </c>
      <c r="Q497" s="50">
        <f t="shared" si="15"/>
        <v>18.767675656493843</v>
      </c>
      <c r="R497" s="39" t="s">
        <v>51</v>
      </c>
    </row>
    <row r="498" spans="1:18" x14ac:dyDescent="0.35">
      <c r="A498" s="54">
        <v>1230088</v>
      </c>
      <c r="B498" s="54">
        <v>104510</v>
      </c>
      <c r="C498" s="54" t="s">
        <v>381</v>
      </c>
      <c r="D498" s="51">
        <v>52778.029999999431</v>
      </c>
      <c r="E498" s="52">
        <v>0.20316020295366191</v>
      </c>
      <c r="F498" s="51">
        <v>52778.029999999431</v>
      </c>
      <c r="G498" s="52">
        <v>0.20316020295366191</v>
      </c>
      <c r="H498" s="53">
        <v>3733</v>
      </c>
      <c r="I498" s="52">
        <v>0.18620908802033684</v>
      </c>
      <c r="J498" s="53">
        <v>3733</v>
      </c>
      <c r="K498" s="52">
        <v>0.18620908802033684</v>
      </c>
      <c r="L498" s="53">
        <v>2816</v>
      </c>
      <c r="M498" s="52">
        <v>0.20034100596760443</v>
      </c>
      <c r="N498" s="53">
        <v>2816</v>
      </c>
      <c r="O498" s="52">
        <v>0.20034100596760443</v>
      </c>
      <c r="P498" s="51">
        <f t="shared" si="14"/>
        <v>1.3256392045454546</v>
      </c>
      <c r="Q498" s="50">
        <f t="shared" si="15"/>
        <v>18.742198153408889</v>
      </c>
      <c r="R498" s="39" t="s">
        <v>51</v>
      </c>
    </row>
    <row r="499" spans="1:18" x14ac:dyDescent="0.35">
      <c r="A499" s="54">
        <v>1240395</v>
      </c>
      <c r="B499" s="54">
        <v>106972</v>
      </c>
      <c r="C499" s="54" t="s">
        <v>380</v>
      </c>
      <c r="D499" s="51">
        <v>52721.959999999599</v>
      </c>
      <c r="E499" s="52">
        <v>0.21982756925306629</v>
      </c>
      <c r="F499" s="51">
        <v>52721.959999999599</v>
      </c>
      <c r="G499" s="52">
        <v>0.21982756925306629</v>
      </c>
      <c r="H499" s="53">
        <v>3418</v>
      </c>
      <c r="I499" s="52">
        <v>0.11662855276053577</v>
      </c>
      <c r="J499" s="53">
        <v>3418</v>
      </c>
      <c r="K499" s="52">
        <v>0.11662855276053577</v>
      </c>
      <c r="L499" s="53">
        <v>2338</v>
      </c>
      <c r="M499" s="52">
        <v>9.3545369504209538E-2</v>
      </c>
      <c r="N499" s="53">
        <v>2338</v>
      </c>
      <c r="O499" s="52">
        <v>9.3545369504209538E-2</v>
      </c>
      <c r="P499" s="51">
        <f t="shared" si="14"/>
        <v>1.4619332763045338</v>
      </c>
      <c r="Q499" s="50">
        <f t="shared" si="15"/>
        <v>22.550025662959623</v>
      </c>
      <c r="R499" s="39" t="s">
        <v>51</v>
      </c>
    </row>
    <row r="500" spans="1:18" x14ac:dyDescent="0.35">
      <c r="A500" s="54">
        <v>1240272</v>
      </c>
      <c r="B500" s="54">
        <v>104863</v>
      </c>
      <c r="C500" s="54" t="s">
        <v>379</v>
      </c>
      <c r="D500" s="51">
        <v>52693.819999999781</v>
      </c>
      <c r="E500" s="52">
        <v>5.5914103036040219E-2</v>
      </c>
      <c r="F500" s="51">
        <v>52693.819999999781</v>
      </c>
      <c r="G500" s="52">
        <v>5.5914103036040219E-2</v>
      </c>
      <c r="H500" s="53">
        <v>3194</v>
      </c>
      <c r="I500" s="52">
        <v>-3.182782661412549E-2</v>
      </c>
      <c r="J500" s="53">
        <v>3194</v>
      </c>
      <c r="K500" s="52">
        <v>-3.182782661412549E-2</v>
      </c>
      <c r="L500" s="53">
        <v>2142</v>
      </c>
      <c r="M500" s="52">
        <v>-6.8290561113527617E-2</v>
      </c>
      <c r="N500" s="53">
        <v>2142</v>
      </c>
      <c r="O500" s="52">
        <v>-6.8290561113527617E-2</v>
      </c>
      <c r="P500" s="51">
        <f t="shared" si="14"/>
        <v>1.4911297852474323</v>
      </c>
      <c r="Q500" s="50">
        <f t="shared" si="15"/>
        <v>24.600289449112875</v>
      </c>
      <c r="R500" s="39" t="s">
        <v>51</v>
      </c>
    </row>
    <row r="501" spans="1:18" x14ac:dyDescent="0.35">
      <c r="A501" s="54">
        <v>1230127</v>
      </c>
      <c r="B501" s="54">
        <v>101512</v>
      </c>
      <c r="C501" s="54" t="s">
        <v>378</v>
      </c>
      <c r="D501" s="51">
        <v>52688.019999999451</v>
      </c>
      <c r="E501" s="52"/>
      <c r="F501" s="51">
        <v>10034.819999999963</v>
      </c>
      <c r="G501" s="52"/>
      <c r="H501" s="53">
        <v>3496</v>
      </c>
      <c r="I501" s="52" t="s">
        <v>52</v>
      </c>
      <c r="J501" s="53">
        <v>648</v>
      </c>
      <c r="K501" s="52"/>
      <c r="L501" s="53">
        <v>2598</v>
      </c>
      <c r="M501" s="52" t="s">
        <v>52</v>
      </c>
      <c r="N501" s="53">
        <v>484</v>
      </c>
      <c r="O501" s="52"/>
      <c r="P501" s="51">
        <f t="shared" si="14"/>
        <v>1.3456505003849115</v>
      </c>
      <c r="Q501" s="50">
        <f t="shared" si="15"/>
        <v>20.2802232486526</v>
      </c>
      <c r="R501" s="39" t="s">
        <v>51</v>
      </c>
    </row>
    <row r="502" spans="1:18" x14ac:dyDescent="0.35">
      <c r="A502" s="54">
        <v>1200017</v>
      </c>
      <c r="B502" s="54">
        <v>105338</v>
      </c>
      <c r="C502" s="54" t="s">
        <v>377</v>
      </c>
      <c r="D502" s="51">
        <v>52642.709999999686</v>
      </c>
      <c r="E502" s="52">
        <v>0.21700083918799765</v>
      </c>
      <c r="F502" s="51">
        <v>52642.709999999686</v>
      </c>
      <c r="G502" s="52">
        <v>0.21700083918799765</v>
      </c>
      <c r="H502" s="53">
        <v>3409</v>
      </c>
      <c r="I502" s="52">
        <v>9.6141479099678462E-2</v>
      </c>
      <c r="J502" s="53">
        <v>3409</v>
      </c>
      <c r="K502" s="52">
        <v>9.6141479099678462E-2</v>
      </c>
      <c r="L502" s="53">
        <v>2248</v>
      </c>
      <c r="M502" s="52">
        <v>5.6887635166901741E-2</v>
      </c>
      <c r="N502" s="53">
        <v>2248</v>
      </c>
      <c r="O502" s="52">
        <v>5.6887635166901741E-2</v>
      </c>
      <c r="P502" s="51">
        <f t="shared" si="14"/>
        <v>1.5164590747330962</v>
      </c>
      <c r="Q502" s="50">
        <f t="shared" si="15"/>
        <v>23.417575622775662</v>
      </c>
      <c r="R502" s="39" t="s">
        <v>54</v>
      </c>
    </row>
    <row r="503" spans="1:18" x14ac:dyDescent="0.35">
      <c r="A503" s="54">
        <v>1250023</v>
      </c>
      <c r="B503" s="54">
        <v>104271</v>
      </c>
      <c r="C503" s="54" t="s">
        <v>376</v>
      </c>
      <c r="D503" s="51">
        <v>52570.03000000013</v>
      </c>
      <c r="E503" s="52">
        <v>0.28646692384571354</v>
      </c>
      <c r="F503" s="51">
        <v>52570.03000000013</v>
      </c>
      <c r="G503" s="52">
        <v>0.28646692384571354</v>
      </c>
      <c r="H503" s="53">
        <v>3057</v>
      </c>
      <c r="I503" s="52">
        <v>0.21744324970131421</v>
      </c>
      <c r="J503" s="53">
        <v>3057</v>
      </c>
      <c r="K503" s="52">
        <v>0.21744324970131421</v>
      </c>
      <c r="L503" s="53">
        <v>2088</v>
      </c>
      <c r="M503" s="52">
        <v>0.22391559202813599</v>
      </c>
      <c r="N503" s="53">
        <v>2088</v>
      </c>
      <c r="O503" s="52">
        <v>0.22391559202813599</v>
      </c>
      <c r="P503" s="51">
        <f t="shared" si="14"/>
        <v>1.4640804597701149</v>
      </c>
      <c r="Q503" s="50">
        <f t="shared" si="15"/>
        <v>25.177217432950254</v>
      </c>
      <c r="R503" s="39" t="s">
        <v>51</v>
      </c>
    </row>
    <row r="504" spans="1:18" x14ac:dyDescent="0.35">
      <c r="A504" s="54">
        <v>1230107</v>
      </c>
      <c r="B504" s="54">
        <v>106542</v>
      </c>
      <c r="C504" s="54" t="s">
        <v>375</v>
      </c>
      <c r="D504" s="51">
        <v>52348.229999999821</v>
      </c>
      <c r="E504" s="52">
        <v>0.20133631669535756</v>
      </c>
      <c r="F504" s="51">
        <v>52348.229999999821</v>
      </c>
      <c r="G504" s="52">
        <v>0.20133631669535756</v>
      </c>
      <c r="H504" s="53">
        <v>3122</v>
      </c>
      <c r="I504" s="52">
        <v>8.9703315881326351E-2</v>
      </c>
      <c r="J504" s="53">
        <v>3122</v>
      </c>
      <c r="K504" s="52">
        <v>8.9703315881326351E-2</v>
      </c>
      <c r="L504" s="53">
        <v>2218</v>
      </c>
      <c r="M504" s="52">
        <v>9.7476496783770405E-2</v>
      </c>
      <c r="N504" s="53">
        <v>2218</v>
      </c>
      <c r="O504" s="52">
        <v>9.7476496783770405E-2</v>
      </c>
      <c r="P504" s="51">
        <f t="shared" si="14"/>
        <v>1.4075743913435528</v>
      </c>
      <c r="Q504" s="50">
        <f t="shared" si="15"/>
        <v>23.60154643823256</v>
      </c>
      <c r="R504" s="39" t="s">
        <v>51</v>
      </c>
    </row>
    <row r="505" spans="1:18" x14ac:dyDescent="0.35">
      <c r="A505" s="54">
        <v>1250039</v>
      </c>
      <c r="B505" s="54">
        <v>105731</v>
      </c>
      <c r="C505" s="54" t="s">
        <v>374</v>
      </c>
      <c r="D505" s="51">
        <v>52259.909999999727</v>
      </c>
      <c r="E505" s="52">
        <v>-0.17034421566515526</v>
      </c>
      <c r="F505" s="51">
        <v>52259.909999999727</v>
      </c>
      <c r="G505" s="52">
        <v>-0.17034421566515526</v>
      </c>
      <c r="H505" s="53">
        <v>3321</v>
      </c>
      <c r="I505" s="52">
        <v>-0.22821287473855451</v>
      </c>
      <c r="J505" s="53">
        <v>3321</v>
      </c>
      <c r="K505" s="52">
        <v>-0.22821287473855451</v>
      </c>
      <c r="L505" s="53">
        <v>2420</v>
      </c>
      <c r="M505" s="52">
        <v>-0.19761273209549071</v>
      </c>
      <c r="N505" s="53">
        <v>2420</v>
      </c>
      <c r="O505" s="52">
        <v>-0.19761273209549071</v>
      </c>
      <c r="P505" s="51">
        <f t="shared" si="14"/>
        <v>1.3723140495867769</v>
      </c>
      <c r="Q505" s="50">
        <f t="shared" si="15"/>
        <v>21.595004132231292</v>
      </c>
      <c r="R505" s="39" t="s">
        <v>51</v>
      </c>
    </row>
    <row r="506" spans="1:18" x14ac:dyDescent="0.35">
      <c r="A506" s="54">
        <v>1240324</v>
      </c>
      <c r="B506" s="54">
        <v>107851</v>
      </c>
      <c r="C506" s="54" t="s">
        <v>373</v>
      </c>
      <c r="D506" s="51">
        <v>52026.919999999853</v>
      </c>
      <c r="E506" s="52"/>
      <c r="F506" s="51">
        <v>52026.919999999853</v>
      </c>
      <c r="G506" s="52"/>
      <c r="H506" s="53">
        <v>2927</v>
      </c>
      <c r="I506" s="52" t="s">
        <v>52</v>
      </c>
      <c r="J506" s="53">
        <v>2927</v>
      </c>
      <c r="K506" s="52"/>
      <c r="L506" s="53">
        <v>2113</v>
      </c>
      <c r="M506" s="52" t="s">
        <v>52</v>
      </c>
      <c r="N506" s="53">
        <v>2113</v>
      </c>
      <c r="O506" s="52"/>
      <c r="P506" s="51">
        <f t="shared" si="14"/>
        <v>1.3852342640795079</v>
      </c>
      <c r="Q506" s="50">
        <f t="shared" si="15"/>
        <v>24.622300047326007</v>
      </c>
      <c r="R506" s="39" t="s">
        <v>51</v>
      </c>
    </row>
    <row r="507" spans="1:18" x14ac:dyDescent="0.35">
      <c r="A507" s="54">
        <v>1230079</v>
      </c>
      <c r="B507" s="54">
        <v>100943</v>
      </c>
      <c r="C507" s="54" t="s">
        <v>372</v>
      </c>
      <c r="D507" s="51">
        <v>51103.789999999572</v>
      </c>
      <c r="E507" s="52">
        <v>0.16023864179959194</v>
      </c>
      <c r="F507" s="51">
        <v>51103.789999999572</v>
      </c>
      <c r="G507" s="52">
        <v>0.16023864179959194</v>
      </c>
      <c r="H507" s="53">
        <v>3051</v>
      </c>
      <c r="I507" s="52">
        <v>4.8093438680865679E-2</v>
      </c>
      <c r="J507" s="53">
        <v>3051</v>
      </c>
      <c r="K507" s="52">
        <v>4.8093438680865679E-2</v>
      </c>
      <c r="L507" s="53">
        <v>2013</v>
      </c>
      <c r="M507" s="52">
        <v>3.9772727272727272E-2</v>
      </c>
      <c r="N507" s="53">
        <v>2013</v>
      </c>
      <c r="O507" s="52">
        <v>3.9772727272727272E-2</v>
      </c>
      <c r="P507" s="51">
        <f t="shared" si="14"/>
        <v>1.5156482861400895</v>
      </c>
      <c r="Q507" s="50">
        <f t="shared" si="15"/>
        <v>25.386880278191541</v>
      </c>
      <c r="R507" s="39" t="s">
        <v>54</v>
      </c>
    </row>
    <row r="508" spans="1:18" x14ac:dyDescent="0.35">
      <c r="A508" s="54">
        <v>1240243</v>
      </c>
      <c r="B508" s="54">
        <v>107857</v>
      </c>
      <c r="C508" s="54" t="s">
        <v>371</v>
      </c>
      <c r="D508" s="51">
        <v>51070.589999999705</v>
      </c>
      <c r="E508" s="52"/>
      <c r="F508" s="51">
        <v>51070.589999999705</v>
      </c>
      <c r="G508" s="52"/>
      <c r="H508" s="53">
        <v>3235</v>
      </c>
      <c r="I508" s="52" t="s">
        <v>52</v>
      </c>
      <c r="J508" s="53">
        <v>3235</v>
      </c>
      <c r="K508" s="52"/>
      <c r="L508" s="53">
        <v>2327</v>
      </c>
      <c r="M508" s="52" t="s">
        <v>52</v>
      </c>
      <c r="N508" s="53">
        <v>2327</v>
      </c>
      <c r="O508" s="52"/>
      <c r="P508" s="51">
        <f t="shared" si="14"/>
        <v>1.3902019767941556</v>
      </c>
      <c r="Q508" s="50">
        <f t="shared" si="15"/>
        <v>21.946966050708941</v>
      </c>
      <c r="R508" s="39" t="s">
        <v>51</v>
      </c>
    </row>
    <row r="509" spans="1:18" x14ac:dyDescent="0.35">
      <c r="A509" s="54">
        <v>1230129</v>
      </c>
      <c r="B509" s="54">
        <v>107530</v>
      </c>
      <c r="C509" s="54" t="s">
        <v>370</v>
      </c>
      <c r="D509" s="51">
        <v>50899.539999999834</v>
      </c>
      <c r="E509" s="52"/>
      <c r="F509" s="51"/>
      <c r="G509" s="52"/>
      <c r="H509" s="53">
        <v>3029</v>
      </c>
      <c r="I509" s="52" t="s">
        <v>52</v>
      </c>
      <c r="J509" s="53"/>
      <c r="K509" s="52"/>
      <c r="L509" s="53">
        <v>2011</v>
      </c>
      <c r="M509" s="52" t="s">
        <v>52</v>
      </c>
      <c r="N509" s="53"/>
      <c r="O509" s="52"/>
      <c r="P509" s="51">
        <f t="shared" si="14"/>
        <v>1.5062158130283441</v>
      </c>
      <c r="Q509" s="50">
        <f t="shared" si="15"/>
        <v>25.310561909497679</v>
      </c>
      <c r="R509" s="39" t="s">
        <v>54</v>
      </c>
    </row>
    <row r="510" spans="1:18" x14ac:dyDescent="0.35">
      <c r="A510" s="54">
        <v>1200028</v>
      </c>
      <c r="B510" s="54">
        <v>107897</v>
      </c>
      <c r="C510" s="54" t="s">
        <v>369</v>
      </c>
      <c r="D510" s="51">
        <v>50870.839999999327</v>
      </c>
      <c r="E510" s="52"/>
      <c r="F510" s="51"/>
      <c r="G510" s="52"/>
      <c r="H510" s="53">
        <v>3630</v>
      </c>
      <c r="I510" s="52" t="s">
        <v>52</v>
      </c>
      <c r="J510" s="53"/>
      <c r="K510" s="52"/>
      <c r="L510" s="53">
        <v>2490</v>
      </c>
      <c r="M510" s="52" t="s">
        <v>52</v>
      </c>
      <c r="N510" s="53"/>
      <c r="O510" s="52"/>
      <c r="P510" s="51">
        <f t="shared" si="14"/>
        <v>1.4578313253012047</v>
      </c>
      <c r="Q510" s="50">
        <f t="shared" si="15"/>
        <v>20.430056224899328</v>
      </c>
      <c r="R510" s="39" t="s">
        <v>51</v>
      </c>
    </row>
    <row r="511" spans="1:18" x14ac:dyDescent="0.35">
      <c r="A511" s="54">
        <v>1250049</v>
      </c>
      <c r="B511" s="54">
        <v>107426</v>
      </c>
      <c r="C511" s="54" t="s">
        <v>368</v>
      </c>
      <c r="D511" s="51">
        <v>50812.309999999547</v>
      </c>
      <c r="E511" s="52">
        <v>0.38421629296432774</v>
      </c>
      <c r="F511" s="51">
        <v>29519.869999999657</v>
      </c>
      <c r="G511" s="52">
        <v>-0.19582705410974705</v>
      </c>
      <c r="H511" s="53">
        <v>2871</v>
      </c>
      <c r="I511" s="52">
        <v>0.41289370078740156</v>
      </c>
      <c r="J511" s="53">
        <v>1645</v>
      </c>
      <c r="K511" s="52">
        <v>-0.19045275590551181</v>
      </c>
      <c r="L511" s="53">
        <v>1968</v>
      </c>
      <c r="M511" s="52">
        <v>0.54352941176470593</v>
      </c>
      <c r="N511" s="53">
        <v>1136</v>
      </c>
      <c r="O511" s="52">
        <v>-0.10901960784313726</v>
      </c>
      <c r="P511" s="51">
        <f t="shared" si="14"/>
        <v>1.4588414634146341</v>
      </c>
      <c r="Q511" s="50">
        <f t="shared" si="15"/>
        <v>25.819263211381884</v>
      </c>
      <c r="R511" s="39" t="s">
        <v>51</v>
      </c>
    </row>
    <row r="512" spans="1:18" x14ac:dyDescent="0.35">
      <c r="A512" s="54">
        <v>1240320</v>
      </c>
      <c r="B512" s="54">
        <v>106780</v>
      </c>
      <c r="C512" s="54" t="s">
        <v>367</v>
      </c>
      <c r="D512" s="51">
        <v>50669.579999999864</v>
      </c>
      <c r="E512" s="52">
        <v>5.9877177059529905E-2</v>
      </c>
      <c r="F512" s="51">
        <v>50669.579999999864</v>
      </c>
      <c r="G512" s="52">
        <v>5.9877177059529905E-2</v>
      </c>
      <c r="H512" s="53">
        <v>3016</v>
      </c>
      <c r="I512" s="52">
        <v>-4.9479987393633788E-2</v>
      </c>
      <c r="J512" s="53">
        <v>3016</v>
      </c>
      <c r="K512" s="52">
        <v>-4.9479987393633788E-2</v>
      </c>
      <c r="L512" s="53">
        <v>2127</v>
      </c>
      <c r="M512" s="52">
        <v>-3.0095759233926128E-2</v>
      </c>
      <c r="N512" s="53">
        <v>2127</v>
      </c>
      <c r="O512" s="52">
        <v>-3.0095759233926128E-2</v>
      </c>
      <c r="P512" s="51">
        <f t="shared" si="14"/>
        <v>1.4179595674659144</v>
      </c>
      <c r="Q512" s="50">
        <f t="shared" si="15"/>
        <v>23.82208744710854</v>
      </c>
      <c r="R512" s="39" t="s">
        <v>51</v>
      </c>
    </row>
    <row r="513" spans="1:18" x14ac:dyDescent="0.35">
      <c r="A513" s="54">
        <v>1240311</v>
      </c>
      <c r="B513" s="54">
        <v>105498</v>
      </c>
      <c r="C513" s="54" t="s">
        <v>366</v>
      </c>
      <c r="D513" s="51">
        <v>50633.019999999131</v>
      </c>
      <c r="E513" s="52">
        <v>0.14163167156878431</v>
      </c>
      <c r="F513" s="51">
        <v>50633.019999999131</v>
      </c>
      <c r="G513" s="52">
        <v>0.14163167156878431</v>
      </c>
      <c r="H513" s="53">
        <v>3686</v>
      </c>
      <c r="I513" s="52">
        <v>0.10161386730424388</v>
      </c>
      <c r="J513" s="53">
        <v>3686</v>
      </c>
      <c r="K513" s="52">
        <v>0.10161386730424388</v>
      </c>
      <c r="L513" s="53">
        <v>2335</v>
      </c>
      <c r="M513" s="52">
        <v>8.807082945013979E-2</v>
      </c>
      <c r="N513" s="53">
        <v>2335</v>
      </c>
      <c r="O513" s="52">
        <v>8.807082945013979E-2</v>
      </c>
      <c r="P513" s="51">
        <f t="shared" si="14"/>
        <v>1.5785867237687365</v>
      </c>
      <c r="Q513" s="50">
        <f t="shared" si="15"/>
        <v>21.684376873661297</v>
      </c>
      <c r="R513" s="39" t="s">
        <v>54</v>
      </c>
    </row>
    <row r="514" spans="1:18" x14ac:dyDescent="0.35">
      <c r="A514" s="54">
        <v>1240072</v>
      </c>
      <c r="B514" s="54">
        <v>100646</v>
      </c>
      <c r="C514" s="54" t="s">
        <v>365</v>
      </c>
      <c r="D514" s="51">
        <v>50620.009999999529</v>
      </c>
      <c r="E514" s="52">
        <v>0.32286876919654939</v>
      </c>
      <c r="F514" s="51">
        <v>50620.009999999529</v>
      </c>
      <c r="G514" s="52">
        <v>0.32286876919654939</v>
      </c>
      <c r="H514" s="53">
        <v>3447</v>
      </c>
      <c r="I514" s="52">
        <v>0.24620390455531455</v>
      </c>
      <c r="J514" s="53">
        <v>3447</v>
      </c>
      <c r="K514" s="52">
        <v>0.24620390455531455</v>
      </c>
      <c r="L514" s="53">
        <v>2580</v>
      </c>
      <c r="M514" s="52">
        <v>0.2506059137178866</v>
      </c>
      <c r="N514" s="53">
        <v>2580</v>
      </c>
      <c r="O514" s="52">
        <v>0.2506059137178866</v>
      </c>
      <c r="P514" s="51">
        <f t="shared" si="14"/>
        <v>1.336046511627907</v>
      </c>
      <c r="Q514" s="50">
        <f t="shared" si="15"/>
        <v>19.620158914728499</v>
      </c>
      <c r="R514" s="39" t="s">
        <v>51</v>
      </c>
    </row>
    <row r="515" spans="1:18" x14ac:dyDescent="0.35">
      <c r="A515" s="54">
        <v>1240226</v>
      </c>
      <c r="B515" s="54">
        <v>103478</v>
      </c>
      <c r="C515" s="54" t="s">
        <v>364</v>
      </c>
      <c r="D515" s="51">
        <v>50442.869999999253</v>
      </c>
      <c r="E515" s="52">
        <v>7.5650337998122541E-2</v>
      </c>
      <c r="F515" s="51">
        <v>50442.869999999253</v>
      </c>
      <c r="G515" s="52">
        <v>7.5650337998122541E-2</v>
      </c>
      <c r="H515" s="53">
        <v>3448</v>
      </c>
      <c r="I515" s="52">
        <v>-4.9089906232763374E-2</v>
      </c>
      <c r="J515" s="53">
        <v>3448</v>
      </c>
      <c r="K515" s="52">
        <v>-4.9089906232763374E-2</v>
      </c>
      <c r="L515" s="53">
        <v>2383</v>
      </c>
      <c r="M515" s="52">
        <v>-9.4948727687048998E-2</v>
      </c>
      <c r="N515" s="53">
        <v>2383</v>
      </c>
      <c r="O515" s="52">
        <v>-9.4948727687048998E-2</v>
      </c>
      <c r="P515" s="51">
        <f t="shared" si="14"/>
        <v>1.4469156525388167</v>
      </c>
      <c r="Q515" s="50">
        <f t="shared" si="15"/>
        <v>21.167801091061374</v>
      </c>
      <c r="R515" s="39" t="s">
        <v>51</v>
      </c>
    </row>
    <row r="516" spans="1:18" x14ac:dyDescent="0.35">
      <c r="A516" s="54">
        <v>1210021</v>
      </c>
      <c r="B516" s="54">
        <v>101890</v>
      </c>
      <c r="C516" s="54" t="s">
        <v>363</v>
      </c>
      <c r="D516" s="51">
        <v>50399.179999999542</v>
      </c>
      <c r="E516" s="52">
        <v>0.25420108206465208</v>
      </c>
      <c r="F516" s="51">
        <v>50399.179999999542</v>
      </c>
      <c r="G516" s="52">
        <v>0.25420108206465208</v>
      </c>
      <c r="H516" s="53">
        <v>3400</v>
      </c>
      <c r="I516" s="52">
        <v>9.6774193548387094E-2</v>
      </c>
      <c r="J516" s="53">
        <v>3400</v>
      </c>
      <c r="K516" s="52">
        <v>9.6774193548387094E-2</v>
      </c>
      <c r="L516" s="53">
        <v>2423</v>
      </c>
      <c r="M516" s="52">
        <v>0.10487916096671226</v>
      </c>
      <c r="N516" s="53">
        <v>2423</v>
      </c>
      <c r="O516" s="52">
        <v>0.10487916096671226</v>
      </c>
      <c r="P516" s="51">
        <f t="shared" si="14"/>
        <v>1.4032191498142799</v>
      </c>
      <c r="Q516" s="50">
        <f t="shared" si="15"/>
        <v>20.80032191498124</v>
      </c>
      <c r="R516" s="39" t="s">
        <v>51</v>
      </c>
    </row>
    <row r="517" spans="1:18" x14ac:dyDescent="0.35">
      <c r="A517" s="54">
        <v>1250001</v>
      </c>
      <c r="B517" s="54">
        <v>108355</v>
      </c>
      <c r="C517" s="54" t="s">
        <v>362</v>
      </c>
      <c r="D517" s="51">
        <v>49995.929999999622</v>
      </c>
      <c r="E517" s="52"/>
      <c r="F517" s="51">
        <v>49995.929999999622</v>
      </c>
      <c r="G517" s="52"/>
      <c r="H517" s="53">
        <v>3199</v>
      </c>
      <c r="I517" s="52" t="s">
        <v>52</v>
      </c>
      <c r="J517" s="53">
        <v>3199</v>
      </c>
      <c r="K517" s="52"/>
      <c r="L517" s="53">
        <v>2073</v>
      </c>
      <c r="M517" s="52" t="s">
        <v>52</v>
      </c>
      <c r="N517" s="53">
        <v>2073</v>
      </c>
      <c r="O517" s="52"/>
      <c r="P517" s="51">
        <f t="shared" ref="P517:P580" si="16">H517/L517</f>
        <v>1.5431741437530149</v>
      </c>
      <c r="Q517" s="50">
        <f t="shared" ref="Q517:Q580" si="17">D517/L517</f>
        <v>24.117670043415156</v>
      </c>
      <c r="R517" s="39" t="s">
        <v>54</v>
      </c>
    </row>
    <row r="518" spans="1:18" x14ac:dyDescent="0.35">
      <c r="A518" s="54">
        <v>1220004</v>
      </c>
      <c r="B518" s="54">
        <v>104992</v>
      </c>
      <c r="C518" s="54" t="s">
        <v>361</v>
      </c>
      <c r="D518" s="51">
        <v>49675.179999999425</v>
      </c>
      <c r="E518" s="52">
        <v>-5.0511097463754151E-2</v>
      </c>
      <c r="F518" s="51">
        <v>49675.179999999425</v>
      </c>
      <c r="G518" s="52">
        <v>-5.0511097463754151E-2</v>
      </c>
      <c r="H518" s="53">
        <v>3199</v>
      </c>
      <c r="I518" s="52">
        <v>-0.13423545331529094</v>
      </c>
      <c r="J518" s="53">
        <v>3199</v>
      </c>
      <c r="K518" s="52">
        <v>-0.13423545331529094</v>
      </c>
      <c r="L518" s="53">
        <v>2097</v>
      </c>
      <c r="M518" s="52">
        <v>-0.10803913228413441</v>
      </c>
      <c r="N518" s="53">
        <v>2097</v>
      </c>
      <c r="O518" s="52">
        <v>-0.10803913228413441</v>
      </c>
      <c r="P518" s="51">
        <f t="shared" si="16"/>
        <v>1.52551263710062</v>
      </c>
      <c r="Q518" s="50">
        <f t="shared" si="17"/>
        <v>23.688688602765581</v>
      </c>
      <c r="R518" s="39" t="s">
        <v>54</v>
      </c>
    </row>
    <row r="519" spans="1:18" x14ac:dyDescent="0.35">
      <c r="A519" s="54">
        <v>1230017</v>
      </c>
      <c r="B519" s="54">
        <v>104703</v>
      </c>
      <c r="C519" s="54" t="s">
        <v>360</v>
      </c>
      <c r="D519" s="51">
        <v>49084.009999999515</v>
      </c>
      <c r="E519" s="52">
        <v>6.6615889931102679E-2</v>
      </c>
      <c r="F519" s="51">
        <v>49084.009999999515</v>
      </c>
      <c r="G519" s="52">
        <v>6.6615889931102679E-2</v>
      </c>
      <c r="H519" s="53">
        <v>3179</v>
      </c>
      <c r="I519" s="52">
        <v>-3.4482758620689655E-3</v>
      </c>
      <c r="J519" s="53">
        <v>3179</v>
      </c>
      <c r="K519" s="52">
        <v>-3.4482758620689655E-3</v>
      </c>
      <c r="L519" s="53">
        <v>2472</v>
      </c>
      <c r="M519" s="52">
        <v>6.9246435845213847E-3</v>
      </c>
      <c r="N519" s="53">
        <v>2472</v>
      </c>
      <c r="O519" s="52">
        <v>6.9246435845213847E-3</v>
      </c>
      <c r="P519" s="51">
        <f t="shared" si="16"/>
        <v>1.2860032362459546</v>
      </c>
      <c r="Q519" s="50">
        <f t="shared" si="17"/>
        <v>19.855991100323429</v>
      </c>
      <c r="R519" s="39" t="s">
        <v>51</v>
      </c>
    </row>
    <row r="520" spans="1:18" x14ac:dyDescent="0.35">
      <c r="A520" s="54">
        <v>1240423</v>
      </c>
      <c r="B520" s="54">
        <v>107707</v>
      </c>
      <c r="C520" s="54" t="s">
        <v>359</v>
      </c>
      <c r="D520" s="51">
        <v>49043.099999999657</v>
      </c>
      <c r="E520" s="52"/>
      <c r="F520" s="51"/>
      <c r="G520" s="52"/>
      <c r="H520" s="53">
        <v>3004</v>
      </c>
      <c r="I520" s="52" t="s">
        <v>52</v>
      </c>
      <c r="J520" s="53"/>
      <c r="K520" s="52"/>
      <c r="L520" s="53">
        <v>2097</v>
      </c>
      <c r="M520" s="52" t="s">
        <v>52</v>
      </c>
      <c r="N520" s="53"/>
      <c r="O520" s="52"/>
      <c r="P520" s="51">
        <f t="shared" si="16"/>
        <v>1.4325226514067715</v>
      </c>
      <c r="Q520" s="50">
        <f t="shared" si="17"/>
        <v>23.3872675250356</v>
      </c>
      <c r="R520" s="39" t="s">
        <v>51</v>
      </c>
    </row>
    <row r="521" spans="1:18" x14ac:dyDescent="0.35">
      <c r="A521" s="54">
        <v>1240253</v>
      </c>
      <c r="B521" s="54">
        <v>104513</v>
      </c>
      <c r="C521" s="54" t="s">
        <v>358</v>
      </c>
      <c r="D521" s="51">
        <v>48771.329999999303</v>
      </c>
      <c r="E521" s="52">
        <v>-3.7615063232121611E-2</v>
      </c>
      <c r="F521" s="51">
        <v>48771.329999999303</v>
      </c>
      <c r="G521" s="52">
        <v>-3.7615063232121611E-2</v>
      </c>
      <c r="H521" s="53">
        <v>3390</v>
      </c>
      <c r="I521" s="52">
        <v>-0.12942989214175654</v>
      </c>
      <c r="J521" s="53">
        <v>3390</v>
      </c>
      <c r="K521" s="52">
        <v>-0.12942989214175654</v>
      </c>
      <c r="L521" s="53">
        <v>2248</v>
      </c>
      <c r="M521" s="52">
        <v>-0.10935023771790808</v>
      </c>
      <c r="N521" s="53">
        <v>2248</v>
      </c>
      <c r="O521" s="52">
        <v>-0.10935023771790808</v>
      </c>
      <c r="P521" s="51">
        <f t="shared" si="16"/>
        <v>1.5080071174377223</v>
      </c>
      <c r="Q521" s="50">
        <f t="shared" si="17"/>
        <v>21.695431494661612</v>
      </c>
      <c r="R521" s="39" t="s">
        <v>54</v>
      </c>
    </row>
    <row r="522" spans="1:18" x14ac:dyDescent="0.35">
      <c r="A522" s="54">
        <v>1240345</v>
      </c>
      <c r="B522" s="54">
        <v>106343</v>
      </c>
      <c r="C522" s="54" t="s">
        <v>357</v>
      </c>
      <c r="D522" s="51">
        <v>48768.929999999571</v>
      </c>
      <c r="E522" s="52">
        <v>0.15427890186544099</v>
      </c>
      <c r="F522" s="51">
        <v>48768.929999999571</v>
      </c>
      <c r="G522" s="52">
        <v>0.15427890186544099</v>
      </c>
      <c r="H522" s="53">
        <v>3260</v>
      </c>
      <c r="I522" s="52">
        <v>5.9817945383615082E-2</v>
      </c>
      <c r="J522" s="53">
        <v>3260</v>
      </c>
      <c r="K522" s="52">
        <v>5.9817945383615082E-2</v>
      </c>
      <c r="L522" s="53">
        <v>2258</v>
      </c>
      <c r="M522" s="52">
        <v>1.2556053811659192E-2</v>
      </c>
      <c r="N522" s="53">
        <v>2258</v>
      </c>
      <c r="O522" s="52">
        <v>1.2556053811659192E-2</v>
      </c>
      <c r="P522" s="51">
        <f t="shared" si="16"/>
        <v>1.4437555358724534</v>
      </c>
      <c r="Q522" s="50">
        <f t="shared" si="17"/>
        <v>21.598286093888206</v>
      </c>
      <c r="R522" s="39" t="s">
        <v>51</v>
      </c>
    </row>
    <row r="523" spans="1:18" x14ac:dyDescent="0.35">
      <c r="A523" s="54">
        <v>1240355</v>
      </c>
      <c r="B523" s="54">
        <v>106609</v>
      </c>
      <c r="C523" s="54" t="s">
        <v>356</v>
      </c>
      <c r="D523" s="51">
        <v>48767.719999999361</v>
      </c>
      <c r="E523" s="52">
        <v>8.3787562372915791E-2</v>
      </c>
      <c r="F523" s="51">
        <v>48767.719999999361</v>
      </c>
      <c r="G523" s="52">
        <v>8.3787562372915791E-2</v>
      </c>
      <c r="H523" s="53">
        <v>3125</v>
      </c>
      <c r="I523" s="52">
        <v>4.8991424117471039E-2</v>
      </c>
      <c r="J523" s="53">
        <v>3125</v>
      </c>
      <c r="K523" s="52">
        <v>4.8991424117471039E-2</v>
      </c>
      <c r="L523" s="53">
        <v>2072</v>
      </c>
      <c r="M523" s="52">
        <v>6.201947719118401E-2</v>
      </c>
      <c r="N523" s="53">
        <v>2072</v>
      </c>
      <c r="O523" s="52">
        <v>6.201947719118401E-2</v>
      </c>
      <c r="P523" s="51">
        <f t="shared" si="16"/>
        <v>1.5082046332046333</v>
      </c>
      <c r="Q523" s="50">
        <f t="shared" si="17"/>
        <v>23.536544401544091</v>
      </c>
      <c r="R523" s="39" t="s">
        <v>54</v>
      </c>
    </row>
    <row r="524" spans="1:18" x14ac:dyDescent="0.35">
      <c r="A524" s="54">
        <v>1240281</v>
      </c>
      <c r="B524" s="54">
        <v>104925</v>
      </c>
      <c r="C524" s="54" t="s">
        <v>355</v>
      </c>
      <c r="D524" s="51">
        <v>48698.12999999967</v>
      </c>
      <c r="E524" s="52">
        <v>-2.0368271185347682E-2</v>
      </c>
      <c r="F524" s="51">
        <v>48698.12999999967</v>
      </c>
      <c r="G524" s="52">
        <v>-2.0368271185347682E-2</v>
      </c>
      <c r="H524" s="53">
        <v>3121</v>
      </c>
      <c r="I524" s="52">
        <v>-0.11234357224118316</v>
      </c>
      <c r="J524" s="53">
        <v>3121</v>
      </c>
      <c r="K524" s="52">
        <v>-0.11234357224118316</v>
      </c>
      <c r="L524" s="53">
        <v>2296</v>
      </c>
      <c r="M524" s="52">
        <v>-0.10904152114862242</v>
      </c>
      <c r="N524" s="53">
        <v>2296</v>
      </c>
      <c r="O524" s="52">
        <v>-0.10904152114862242</v>
      </c>
      <c r="P524" s="51">
        <f t="shared" si="16"/>
        <v>1.3593205574912892</v>
      </c>
      <c r="Q524" s="50">
        <f t="shared" si="17"/>
        <v>21.209986933797765</v>
      </c>
      <c r="R524" s="39" t="s">
        <v>51</v>
      </c>
    </row>
    <row r="525" spans="1:18" x14ac:dyDescent="0.35">
      <c r="A525" s="54">
        <v>1180008</v>
      </c>
      <c r="B525" s="54">
        <v>100467</v>
      </c>
      <c r="C525" s="54" t="s">
        <v>354</v>
      </c>
      <c r="D525" s="51">
        <v>48678.849999999933</v>
      </c>
      <c r="E525" s="52">
        <v>-8.9657399765971896E-2</v>
      </c>
      <c r="F525" s="51">
        <v>48678.849999999933</v>
      </c>
      <c r="G525" s="52">
        <v>-8.9657399765971896E-2</v>
      </c>
      <c r="H525" s="53">
        <v>2883</v>
      </c>
      <c r="I525" s="52">
        <v>-0.1602097290999126</v>
      </c>
      <c r="J525" s="53">
        <v>2883</v>
      </c>
      <c r="K525" s="52">
        <v>-0.1602097290999126</v>
      </c>
      <c r="L525" s="53">
        <v>1824</v>
      </c>
      <c r="M525" s="52">
        <v>-0.1663619744058501</v>
      </c>
      <c r="N525" s="53">
        <v>1824</v>
      </c>
      <c r="O525" s="52">
        <v>-0.1663619744058501</v>
      </c>
      <c r="P525" s="51">
        <f t="shared" si="16"/>
        <v>1.580592105263158</v>
      </c>
      <c r="Q525" s="50">
        <f t="shared" si="17"/>
        <v>26.687966008771895</v>
      </c>
      <c r="R525" s="39" t="s">
        <v>54</v>
      </c>
    </row>
    <row r="526" spans="1:18" x14ac:dyDescent="0.35">
      <c r="A526" s="54">
        <v>1240263</v>
      </c>
      <c r="B526" s="54">
        <v>104758</v>
      </c>
      <c r="C526" s="54" t="s">
        <v>353</v>
      </c>
      <c r="D526" s="51">
        <v>48539.82999999923</v>
      </c>
      <c r="E526" s="52">
        <v>9.4941505917521735E-2</v>
      </c>
      <c r="F526" s="51">
        <v>48539.82999999923</v>
      </c>
      <c r="G526" s="52">
        <v>9.4941505917521735E-2</v>
      </c>
      <c r="H526" s="53">
        <v>3356</v>
      </c>
      <c r="I526" s="52">
        <v>2.7871362940275649E-2</v>
      </c>
      <c r="J526" s="53">
        <v>3356</v>
      </c>
      <c r="K526" s="52">
        <v>2.7871362940275649E-2</v>
      </c>
      <c r="L526" s="53">
        <v>2180</v>
      </c>
      <c r="M526" s="52">
        <v>1.916783543712015E-2</v>
      </c>
      <c r="N526" s="53">
        <v>2180</v>
      </c>
      <c r="O526" s="52">
        <v>1.916783543712015E-2</v>
      </c>
      <c r="P526" s="51">
        <f t="shared" si="16"/>
        <v>1.5394495412844036</v>
      </c>
      <c r="Q526" s="50">
        <f t="shared" si="17"/>
        <v>22.265977064219829</v>
      </c>
      <c r="R526" s="39" t="s">
        <v>54</v>
      </c>
    </row>
    <row r="527" spans="1:18" x14ac:dyDescent="0.35">
      <c r="A527" s="54">
        <v>1240182</v>
      </c>
      <c r="B527" s="54">
        <v>101052</v>
      </c>
      <c r="C527" s="54" t="s">
        <v>352</v>
      </c>
      <c r="D527" s="51">
        <v>48449.999999999389</v>
      </c>
      <c r="E527" s="52">
        <v>-0.4997198637751214</v>
      </c>
      <c r="F527" s="51">
        <v>48449.999999999389</v>
      </c>
      <c r="G527" s="52">
        <v>-0.4997198637751214</v>
      </c>
      <c r="H527" s="53">
        <v>3570</v>
      </c>
      <c r="I527" s="52">
        <v>-0.54815846095430953</v>
      </c>
      <c r="J527" s="53">
        <v>3570</v>
      </c>
      <c r="K527" s="52">
        <v>-0.54815846095430953</v>
      </c>
      <c r="L527" s="53">
        <v>1960</v>
      </c>
      <c r="M527" s="52">
        <v>-0.54838709677419351</v>
      </c>
      <c r="N527" s="53">
        <v>1960</v>
      </c>
      <c r="O527" s="52">
        <v>-0.54838709677419351</v>
      </c>
      <c r="P527" s="51">
        <f t="shared" si="16"/>
        <v>1.8214285714285714</v>
      </c>
      <c r="Q527" s="50">
        <f t="shared" si="17"/>
        <v>24.719387755101728</v>
      </c>
      <c r="R527" s="39" t="s">
        <v>54</v>
      </c>
    </row>
    <row r="528" spans="1:18" x14ac:dyDescent="0.35">
      <c r="A528" s="54">
        <v>1210079</v>
      </c>
      <c r="B528" s="54">
        <v>106912</v>
      </c>
      <c r="C528" s="54" t="s">
        <v>351</v>
      </c>
      <c r="D528" s="51">
        <v>47691.609999999913</v>
      </c>
      <c r="E528" s="52">
        <v>3.1054529489999112</v>
      </c>
      <c r="F528" s="51">
        <v>21979.509999999849</v>
      </c>
      <c r="G528" s="52">
        <v>0.89206957255317199</v>
      </c>
      <c r="H528" s="53">
        <v>2642</v>
      </c>
      <c r="I528" s="52">
        <v>3.1671924290220819</v>
      </c>
      <c r="J528" s="53">
        <v>1210</v>
      </c>
      <c r="K528" s="52">
        <v>0.90851735015772872</v>
      </c>
      <c r="L528" s="53">
        <v>1912</v>
      </c>
      <c r="M528" s="52">
        <v>3.3553530751708429</v>
      </c>
      <c r="N528" s="53">
        <v>878</v>
      </c>
      <c r="O528" s="52">
        <v>1</v>
      </c>
      <c r="P528" s="51">
        <f t="shared" si="16"/>
        <v>1.3817991631799162</v>
      </c>
      <c r="Q528" s="50">
        <f t="shared" si="17"/>
        <v>24.943310669456022</v>
      </c>
      <c r="R528" s="39" t="s">
        <v>51</v>
      </c>
    </row>
    <row r="529" spans="1:18" x14ac:dyDescent="0.35">
      <c r="A529" s="54">
        <v>1220009</v>
      </c>
      <c r="B529" s="54">
        <v>106819</v>
      </c>
      <c r="C529" s="54" t="s">
        <v>350</v>
      </c>
      <c r="D529" s="51">
        <v>47519.789999999775</v>
      </c>
      <c r="E529" s="52">
        <v>0.29473179152764578</v>
      </c>
      <c r="F529" s="51">
        <v>47519.789999999775</v>
      </c>
      <c r="G529" s="52">
        <v>0.29473179152764578</v>
      </c>
      <c r="H529" s="53">
        <v>2685</v>
      </c>
      <c r="I529" s="52">
        <v>0.1828193832599119</v>
      </c>
      <c r="J529" s="53">
        <v>2685</v>
      </c>
      <c r="K529" s="52">
        <v>0.1828193832599119</v>
      </c>
      <c r="L529" s="53">
        <v>1894</v>
      </c>
      <c r="M529" s="52">
        <v>0.23066926575698504</v>
      </c>
      <c r="N529" s="53">
        <v>1894</v>
      </c>
      <c r="O529" s="52">
        <v>0.23066926575698504</v>
      </c>
      <c r="P529" s="51">
        <f t="shared" si="16"/>
        <v>1.4176346356916578</v>
      </c>
      <c r="Q529" s="50">
        <f t="shared" si="17"/>
        <v>25.089646251319838</v>
      </c>
      <c r="R529" s="39" t="s">
        <v>51</v>
      </c>
    </row>
    <row r="530" spans="1:18" x14ac:dyDescent="0.35">
      <c r="A530" s="54">
        <v>1240208</v>
      </c>
      <c r="B530" s="54">
        <v>104799</v>
      </c>
      <c r="C530" s="54" t="s">
        <v>349</v>
      </c>
      <c r="D530" s="51">
        <v>47359.70999999997</v>
      </c>
      <c r="E530" s="52">
        <v>0.12545421837605891</v>
      </c>
      <c r="F530" s="51">
        <v>47359.70999999997</v>
      </c>
      <c r="G530" s="52">
        <v>0.12545421837605891</v>
      </c>
      <c r="H530" s="53">
        <v>2792</v>
      </c>
      <c r="I530" s="52">
        <v>-9.2032520325203246E-2</v>
      </c>
      <c r="J530" s="53">
        <v>2792</v>
      </c>
      <c r="K530" s="52">
        <v>-9.2032520325203246E-2</v>
      </c>
      <c r="L530" s="53">
        <v>2021</v>
      </c>
      <c r="M530" s="52">
        <v>-8.5106382978723402E-2</v>
      </c>
      <c r="N530" s="53">
        <v>2021</v>
      </c>
      <c r="O530" s="52">
        <v>-8.5106382978723402E-2</v>
      </c>
      <c r="P530" s="51">
        <f t="shared" si="16"/>
        <v>1.3814943097476498</v>
      </c>
      <c r="Q530" s="50">
        <f t="shared" si="17"/>
        <v>23.433800098960894</v>
      </c>
      <c r="R530" s="39" t="s">
        <v>51</v>
      </c>
    </row>
    <row r="531" spans="1:18" x14ac:dyDescent="0.35">
      <c r="A531" s="54">
        <v>1240426</v>
      </c>
      <c r="B531" s="54">
        <v>107740</v>
      </c>
      <c r="C531" s="54" t="s">
        <v>348</v>
      </c>
      <c r="D531" s="51">
        <v>47070.459999999759</v>
      </c>
      <c r="E531" s="52"/>
      <c r="F531" s="51"/>
      <c r="G531" s="52"/>
      <c r="H531" s="53">
        <v>2913</v>
      </c>
      <c r="I531" s="52" t="s">
        <v>52</v>
      </c>
      <c r="J531" s="53"/>
      <c r="K531" s="52"/>
      <c r="L531" s="53">
        <v>2056</v>
      </c>
      <c r="M531" s="52" t="s">
        <v>52</v>
      </c>
      <c r="N531" s="53"/>
      <c r="O531" s="52"/>
      <c r="P531" s="51">
        <f t="shared" si="16"/>
        <v>1.4168287937743191</v>
      </c>
      <c r="Q531" s="50">
        <f t="shared" si="17"/>
        <v>22.894192607003774</v>
      </c>
      <c r="R531" s="39" t="s">
        <v>51</v>
      </c>
    </row>
    <row r="532" spans="1:18" x14ac:dyDescent="0.35">
      <c r="A532" s="54">
        <v>1200021</v>
      </c>
      <c r="B532" s="54">
        <v>106667</v>
      </c>
      <c r="C532" s="54" t="s">
        <v>347</v>
      </c>
      <c r="D532" s="51">
        <v>47061.83999999964</v>
      </c>
      <c r="E532" s="52">
        <v>-4.0465256250597673E-2</v>
      </c>
      <c r="F532" s="51">
        <v>47061.83999999964</v>
      </c>
      <c r="G532" s="52">
        <v>-4.0465256250597673E-2</v>
      </c>
      <c r="H532" s="53">
        <v>2934</v>
      </c>
      <c r="I532" s="52">
        <v>-4.5853658536585365E-2</v>
      </c>
      <c r="J532" s="53">
        <v>2934</v>
      </c>
      <c r="K532" s="52">
        <v>-4.5853658536585365E-2</v>
      </c>
      <c r="L532" s="53">
        <v>2135</v>
      </c>
      <c r="M532" s="52">
        <v>8.5025980160604621E-3</v>
      </c>
      <c r="N532" s="53">
        <v>2135</v>
      </c>
      <c r="O532" s="52">
        <v>8.5025980160604621E-3</v>
      </c>
      <c r="P532" s="51">
        <f t="shared" si="16"/>
        <v>1.3742388758782202</v>
      </c>
      <c r="Q532" s="50">
        <f t="shared" si="17"/>
        <v>22.043016393442453</v>
      </c>
      <c r="R532" s="39" t="s">
        <v>51</v>
      </c>
    </row>
    <row r="533" spans="1:18" x14ac:dyDescent="0.35">
      <c r="A533" s="54">
        <v>1240367</v>
      </c>
      <c r="B533" s="54">
        <v>106760</v>
      </c>
      <c r="C533" s="54" t="s">
        <v>346</v>
      </c>
      <c r="D533" s="51">
        <v>46815.269999999262</v>
      </c>
      <c r="E533" s="52">
        <v>0.45490609593279585</v>
      </c>
      <c r="F533" s="51">
        <v>46815.269999999262</v>
      </c>
      <c r="G533" s="52">
        <v>0.45490609593279585</v>
      </c>
      <c r="H533" s="53">
        <v>3025</v>
      </c>
      <c r="I533" s="52">
        <v>0.39916743755781686</v>
      </c>
      <c r="J533" s="53">
        <v>3025</v>
      </c>
      <c r="K533" s="52">
        <v>0.39916743755781686</v>
      </c>
      <c r="L533" s="53">
        <v>2283</v>
      </c>
      <c r="M533" s="52">
        <v>0.38784194528875382</v>
      </c>
      <c r="N533" s="53">
        <v>2283</v>
      </c>
      <c r="O533" s="52">
        <v>0.38784194528875382</v>
      </c>
      <c r="P533" s="51">
        <f t="shared" si="16"/>
        <v>1.3250109505037231</v>
      </c>
      <c r="Q533" s="50">
        <f t="shared" si="17"/>
        <v>20.506031537450401</v>
      </c>
      <c r="R533" s="39" t="s">
        <v>51</v>
      </c>
    </row>
    <row r="534" spans="1:18" x14ac:dyDescent="0.35">
      <c r="A534" s="54">
        <v>1240238</v>
      </c>
      <c r="B534" s="54">
        <v>106913</v>
      </c>
      <c r="C534" s="54" t="s">
        <v>345</v>
      </c>
      <c r="D534" s="51">
        <v>46416.419999999234</v>
      </c>
      <c r="E534" s="52">
        <v>-2.0007368457731985E-2</v>
      </c>
      <c r="F534" s="51">
        <v>46416.419999999234</v>
      </c>
      <c r="G534" s="52">
        <v>-2.0007368457731985E-2</v>
      </c>
      <c r="H534" s="53">
        <v>3207</v>
      </c>
      <c r="I534" s="52">
        <v>-8.1088825214899712E-2</v>
      </c>
      <c r="J534" s="53">
        <v>3207</v>
      </c>
      <c r="K534" s="52">
        <v>-8.1088825214899712E-2</v>
      </c>
      <c r="L534" s="53">
        <v>2171</v>
      </c>
      <c r="M534" s="52">
        <v>-5.8951018638925011E-2</v>
      </c>
      <c r="N534" s="53">
        <v>2171</v>
      </c>
      <c r="O534" s="52">
        <v>-5.8951018638925011E-2</v>
      </c>
      <c r="P534" s="51">
        <f t="shared" si="16"/>
        <v>1.4771994472593275</v>
      </c>
      <c r="Q534" s="50">
        <f t="shared" si="17"/>
        <v>21.380202671579564</v>
      </c>
      <c r="R534" s="39" t="s">
        <v>51</v>
      </c>
    </row>
    <row r="535" spans="1:18" x14ac:dyDescent="0.35">
      <c r="A535" s="54">
        <v>1230093</v>
      </c>
      <c r="B535" s="54">
        <v>102076</v>
      </c>
      <c r="C535" s="54" t="s">
        <v>344</v>
      </c>
      <c r="D535" s="51">
        <v>46404.899999999325</v>
      </c>
      <c r="E535" s="52">
        <v>0.32155846552505069</v>
      </c>
      <c r="F535" s="51">
        <v>46404.899999999325</v>
      </c>
      <c r="G535" s="52">
        <v>0.32155846552505069</v>
      </c>
      <c r="H535" s="53">
        <v>3212</v>
      </c>
      <c r="I535" s="52">
        <v>0.23490965013456364</v>
      </c>
      <c r="J535" s="53">
        <v>3212</v>
      </c>
      <c r="K535" s="52">
        <v>0.23490965013456364</v>
      </c>
      <c r="L535" s="53">
        <v>2402</v>
      </c>
      <c r="M535" s="52">
        <v>0.24714434060228452</v>
      </c>
      <c r="N535" s="53">
        <v>2402</v>
      </c>
      <c r="O535" s="52">
        <v>0.24714434060228452</v>
      </c>
      <c r="P535" s="51">
        <f t="shared" si="16"/>
        <v>1.3372189841798501</v>
      </c>
      <c r="Q535" s="50">
        <f t="shared" si="17"/>
        <v>19.319275603663332</v>
      </c>
      <c r="R535" s="39" t="s">
        <v>51</v>
      </c>
    </row>
    <row r="536" spans="1:18" x14ac:dyDescent="0.35">
      <c r="A536" s="54">
        <v>1240353</v>
      </c>
      <c r="B536" s="54">
        <v>106572</v>
      </c>
      <c r="C536" s="54" t="s">
        <v>343</v>
      </c>
      <c r="D536" s="51">
        <v>46356.149999999383</v>
      </c>
      <c r="E536" s="52">
        <v>6.0583909541786815E-2</v>
      </c>
      <c r="F536" s="51">
        <v>46356.149999999383</v>
      </c>
      <c r="G536" s="52">
        <v>6.0583909541786815E-2</v>
      </c>
      <c r="H536" s="53">
        <v>2970</v>
      </c>
      <c r="I536" s="52">
        <v>-2.1416803953871501E-2</v>
      </c>
      <c r="J536" s="53">
        <v>2970</v>
      </c>
      <c r="K536" s="52">
        <v>-2.1416803953871501E-2</v>
      </c>
      <c r="L536" s="53">
        <v>2164</v>
      </c>
      <c r="M536" s="52">
        <v>-1.8148820326678767E-2</v>
      </c>
      <c r="N536" s="53">
        <v>2164</v>
      </c>
      <c r="O536" s="52">
        <v>-1.8148820326678767E-2</v>
      </c>
      <c r="P536" s="51">
        <f t="shared" si="16"/>
        <v>1.3724584103512014</v>
      </c>
      <c r="Q536" s="50">
        <f t="shared" si="17"/>
        <v>21.421511090572729</v>
      </c>
      <c r="R536" s="39" t="s">
        <v>51</v>
      </c>
    </row>
    <row r="537" spans="1:18" x14ac:dyDescent="0.35">
      <c r="A537" s="54">
        <v>1210040</v>
      </c>
      <c r="B537" s="54">
        <v>104450</v>
      </c>
      <c r="C537" s="54" t="s">
        <v>342</v>
      </c>
      <c r="D537" s="51">
        <v>46234.529999999686</v>
      </c>
      <c r="E537" s="52">
        <v>0.26312187563006256</v>
      </c>
      <c r="F537" s="51">
        <v>46234.529999999686</v>
      </c>
      <c r="G537" s="52">
        <v>0.26312187563006256</v>
      </c>
      <c r="H537" s="53">
        <v>2640</v>
      </c>
      <c r="I537" s="52">
        <v>0.15233522479266695</v>
      </c>
      <c r="J537" s="53">
        <v>2640</v>
      </c>
      <c r="K537" s="52">
        <v>0.15233522479266695</v>
      </c>
      <c r="L537" s="53">
        <v>1881</v>
      </c>
      <c r="M537" s="52">
        <v>0.10908018867924528</v>
      </c>
      <c r="N537" s="53">
        <v>1881</v>
      </c>
      <c r="O537" s="52">
        <v>0.10908018867924528</v>
      </c>
      <c r="P537" s="51">
        <f t="shared" si="16"/>
        <v>1.4035087719298245</v>
      </c>
      <c r="Q537" s="50">
        <f t="shared" si="17"/>
        <v>24.579760765550073</v>
      </c>
      <c r="R537" s="39" t="s">
        <v>51</v>
      </c>
    </row>
    <row r="538" spans="1:18" x14ac:dyDescent="0.35">
      <c r="A538" s="54">
        <v>1240334</v>
      </c>
      <c r="B538" s="54">
        <v>105833</v>
      </c>
      <c r="C538" s="54" t="s">
        <v>341</v>
      </c>
      <c r="D538" s="51">
        <v>46075.539999999455</v>
      </c>
      <c r="E538" s="52">
        <v>-5.0696048490068021E-2</v>
      </c>
      <c r="F538" s="51">
        <v>46075.539999999455</v>
      </c>
      <c r="G538" s="52">
        <v>-5.0696048490068021E-2</v>
      </c>
      <c r="H538" s="53">
        <v>2916</v>
      </c>
      <c r="I538" s="52">
        <v>-0.11451216179283955</v>
      </c>
      <c r="J538" s="53">
        <v>2916</v>
      </c>
      <c r="K538" s="52">
        <v>-0.11451216179283955</v>
      </c>
      <c r="L538" s="53">
        <v>1921</v>
      </c>
      <c r="M538" s="52">
        <v>-0.10107627515208235</v>
      </c>
      <c r="N538" s="53">
        <v>1921</v>
      </c>
      <c r="O538" s="52">
        <v>-0.10107627515208235</v>
      </c>
      <c r="P538" s="51">
        <f t="shared" si="16"/>
        <v>1.5179593961478397</v>
      </c>
      <c r="Q538" s="50">
        <f t="shared" si="17"/>
        <v>23.985184799583266</v>
      </c>
      <c r="R538" s="39" t="s">
        <v>54</v>
      </c>
    </row>
    <row r="539" spans="1:18" x14ac:dyDescent="0.35">
      <c r="A539" s="54">
        <v>1240230</v>
      </c>
      <c r="B539" s="54">
        <v>100347</v>
      </c>
      <c r="C539" s="54" t="s">
        <v>340</v>
      </c>
      <c r="D539" s="51">
        <v>46070.86999999926</v>
      </c>
      <c r="E539" s="52">
        <v>0.19523218509844581</v>
      </c>
      <c r="F539" s="51">
        <v>46070.86999999926</v>
      </c>
      <c r="G539" s="52">
        <v>0.19523218509844581</v>
      </c>
      <c r="H539" s="53">
        <v>3200</v>
      </c>
      <c r="I539" s="52">
        <v>0.10306790761806274</v>
      </c>
      <c r="J539" s="53">
        <v>3200</v>
      </c>
      <c r="K539" s="52">
        <v>0.10306790761806274</v>
      </c>
      <c r="L539" s="53">
        <v>1995</v>
      </c>
      <c r="M539" s="52">
        <v>0.103429203539823</v>
      </c>
      <c r="N539" s="53">
        <v>1995</v>
      </c>
      <c r="O539" s="52">
        <v>0.103429203539823</v>
      </c>
      <c r="P539" s="51">
        <f t="shared" si="16"/>
        <v>1.6040100250626566</v>
      </c>
      <c r="Q539" s="50">
        <f t="shared" si="17"/>
        <v>23.093167919799129</v>
      </c>
      <c r="R539" s="39" t="s">
        <v>54</v>
      </c>
    </row>
    <row r="540" spans="1:18" x14ac:dyDescent="0.35">
      <c r="A540" s="54">
        <v>1210051</v>
      </c>
      <c r="B540" s="54">
        <v>104907</v>
      </c>
      <c r="C540" s="54" t="s">
        <v>339</v>
      </c>
      <c r="D540" s="51">
        <v>46029.439999999362</v>
      </c>
      <c r="E540" s="52">
        <v>5.2677992335906768E-2</v>
      </c>
      <c r="F540" s="51">
        <v>46029.439999999362</v>
      </c>
      <c r="G540" s="52">
        <v>5.2677992335906768E-2</v>
      </c>
      <c r="H540" s="53">
        <v>2897</v>
      </c>
      <c r="I540" s="52">
        <v>-5.8192457737321193E-2</v>
      </c>
      <c r="J540" s="53">
        <v>2897</v>
      </c>
      <c r="K540" s="52">
        <v>-5.8192457737321193E-2</v>
      </c>
      <c r="L540" s="53">
        <v>1879</v>
      </c>
      <c r="M540" s="52">
        <v>-4.0837161817253699E-2</v>
      </c>
      <c r="N540" s="53">
        <v>1879</v>
      </c>
      <c r="O540" s="52">
        <v>-4.0837161817253699E-2</v>
      </c>
      <c r="P540" s="51">
        <f t="shared" si="16"/>
        <v>1.5417775412453432</v>
      </c>
      <c r="Q540" s="50">
        <f t="shared" si="17"/>
        <v>24.496774880255117</v>
      </c>
      <c r="R540" s="39" t="s">
        <v>54</v>
      </c>
    </row>
    <row r="541" spans="1:18" x14ac:dyDescent="0.35">
      <c r="A541" s="54">
        <v>1240219</v>
      </c>
      <c r="B541" s="54">
        <v>103417</v>
      </c>
      <c r="C541" s="54" t="s">
        <v>338</v>
      </c>
      <c r="D541" s="51">
        <v>45722.989999999496</v>
      </c>
      <c r="E541" s="52">
        <v>-2.585138685659125E-2</v>
      </c>
      <c r="F541" s="51">
        <v>45722.989999999496</v>
      </c>
      <c r="G541" s="52">
        <v>-2.585138685659125E-2</v>
      </c>
      <c r="H541" s="53">
        <v>2972</v>
      </c>
      <c r="I541" s="52">
        <v>-0.10075642965204236</v>
      </c>
      <c r="J541" s="53">
        <v>2972</v>
      </c>
      <c r="K541" s="52">
        <v>-0.10075642965204236</v>
      </c>
      <c r="L541" s="53">
        <v>2050</v>
      </c>
      <c r="M541" s="52">
        <v>-5.7904411764705885E-2</v>
      </c>
      <c r="N541" s="53">
        <v>2050</v>
      </c>
      <c r="O541" s="52">
        <v>-5.7904411764705885E-2</v>
      </c>
      <c r="P541" s="51">
        <f t="shared" si="16"/>
        <v>1.4497560975609756</v>
      </c>
      <c r="Q541" s="50">
        <f t="shared" si="17"/>
        <v>22.303897560975365</v>
      </c>
      <c r="R541" s="39" t="s">
        <v>51</v>
      </c>
    </row>
    <row r="542" spans="1:18" x14ac:dyDescent="0.35">
      <c r="A542" s="54">
        <v>1240265</v>
      </c>
      <c r="B542" s="54">
        <v>107960</v>
      </c>
      <c r="C542" s="54" t="s">
        <v>337</v>
      </c>
      <c r="D542" s="51">
        <v>45484.899999999398</v>
      </c>
      <c r="E542" s="52"/>
      <c r="F542" s="51">
        <v>45484.899999999398</v>
      </c>
      <c r="G542" s="52"/>
      <c r="H542" s="53">
        <v>2928</v>
      </c>
      <c r="I542" s="52" t="s">
        <v>52</v>
      </c>
      <c r="J542" s="53">
        <v>2928</v>
      </c>
      <c r="K542" s="52"/>
      <c r="L542" s="53">
        <v>1827</v>
      </c>
      <c r="M542" s="52" t="s">
        <v>52</v>
      </c>
      <c r="N542" s="53">
        <v>1827</v>
      </c>
      <c r="O542" s="52"/>
      <c r="P542" s="51">
        <f t="shared" si="16"/>
        <v>1.6026272577996716</v>
      </c>
      <c r="Q542" s="50">
        <f t="shared" si="17"/>
        <v>24.895949644225176</v>
      </c>
      <c r="R542" s="39" t="s">
        <v>54</v>
      </c>
    </row>
    <row r="543" spans="1:18" x14ac:dyDescent="0.35">
      <c r="A543" s="54">
        <v>1270014</v>
      </c>
      <c r="B543" s="54">
        <v>104328</v>
      </c>
      <c r="C543" s="54" t="s">
        <v>336</v>
      </c>
      <c r="D543" s="51">
        <v>45098.969999999506</v>
      </c>
      <c r="E543" s="52">
        <v>-0.28156792540115705</v>
      </c>
      <c r="F543" s="51">
        <v>45098.969999999506</v>
      </c>
      <c r="G543" s="52">
        <v>-0.28156792540115705</v>
      </c>
      <c r="H543" s="53">
        <v>2699</v>
      </c>
      <c r="I543" s="52">
        <v>-0.33110285006195789</v>
      </c>
      <c r="J543" s="53">
        <v>2699</v>
      </c>
      <c r="K543" s="52">
        <v>-0.33110285006195789</v>
      </c>
      <c r="L543" s="53">
        <v>1664</v>
      </c>
      <c r="M543" s="52">
        <v>-0.33652312599681022</v>
      </c>
      <c r="N543" s="53">
        <v>1664</v>
      </c>
      <c r="O543" s="52">
        <v>-0.33652312599681022</v>
      </c>
      <c r="P543" s="51">
        <f t="shared" si="16"/>
        <v>1.6219951923076923</v>
      </c>
      <c r="Q543" s="50">
        <f t="shared" si="17"/>
        <v>27.102746394230472</v>
      </c>
      <c r="R543" s="39" t="s">
        <v>54</v>
      </c>
    </row>
    <row r="544" spans="1:18" x14ac:dyDescent="0.35">
      <c r="A544" s="54">
        <v>1240223</v>
      </c>
      <c r="B544" s="54">
        <v>103522</v>
      </c>
      <c r="C544" s="54" t="s">
        <v>335</v>
      </c>
      <c r="D544" s="51">
        <v>44755.859999999375</v>
      </c>
      <c r="E544" s="52">
        <v>-0.11796757462397571</v>
      </c>
      <c r="F544" s="51">
        <v>44755.859999999375</v>
      </c>
      <c r="G544" s="52">
        <v>-0.11796757462397571</v>
      </c>
      <c r="H544" s="53">
        <v>2857</v>
      </c>
      <c r="I544" s="52">
        <v>-0.16167840375586853</v>
      </c>
      <c r="J544" s="53">
        <v>2857</v>
      </c>
      <c r="K544" s="52">
        <v>-0.16167840375586853</v>
      </c>
      <c r="L544" s="53">
        <v>1909</v>
      </c>
      <c r="M544" s="52">
        <v>-0.18244111349036402</v>
      </c>
      <c r="N544" s="53">
        <v>1909</v>
      </c>
      <c r="O544" s="52">
        <v>-0.18244111349036402</v>
      </c>
      <c r="P544" s="51">
        <f t="shared" si="16"/>
        <v>1.4965950759559978</v>
      </c>
      <c r="Q544" s="50">
        <f t="shared" si="17"/>
        <v>23.444662126767614</v>
      </c>
      <c r="R544" s="39" t="s">
        <v>51</v>
      </c>
    </row>
    <row r="545" spans="1:18" x14ac:dyDescent="0.35">
      <c r="A545" s="54">
        <v>1210013</v>
      </c>
      <c r="B545" s="54">
        <v>100746</v>
      </c>
      <c r="C545" s="54" t="s">
        <v>334</v>
      </c>
      <c r="D545" s="51">
        <v>44473.439999999777</v>
      </c>
      <c r="E545" s="52">
        <v>-0.13251212818867472</v>
      </c>
      <c r="F545" s="51">
        <v>44473.439999999777</v>
      </c>
      <c r="G545" s="52">
        <v>-0.13251212818867472</v>
      </c>
      <c r="H545" s="53">
        <v>3041</v>
      </c>
      <c r="I545" s="52">
        <v>-0.23032143761073146</v>
      </c>
      <c r="J545" s="53">
        <v>3041</v>
      </c>
      <c r="K545" s="52">
        <v>-0.23032143761073146</v>
      </c>
      <c r="L545" s="53">
        <v>2480</v>
      </c>
      <c r="M545" s="52">
        <v>-0.21593423964590577</v>
      </c>
      <c r="N545" s="53">
        <v>2480</v>
      </c>
      <c r="O545" s="52">
        <v>-0.21593423964590577</v>
      </c>
      <c r="P545" s="51">
        <f t="shared" si="16"/>
        <v>1.2262096774193549</v>
      </c>
      <c r="Q545" s="50">
        <f t="shared" si="17"/>
        <v>17.932838709677331</v>
      </c>
      <c r="R545" s="39" t="s">
        <v>51</v>
      </c>
    </row>
    <row r="546" spans="1:18" x14ac:dyDescent="0.35">
      <c r="A546" s="54">
        <v>1240315</v>
      </c>
      <c r="B546" s="54">
        <v>105526</v>
      </c>
      <c r="C546" s="54" t="s">
        <v>333</v>
      </c>
      <c r="D546" s="51">
        <v>44387.839999999313</v>
      </c>
      <c r="E546" s="52">
        <v>0.31877568640429016</v>
      </c>
      <c r="F546" s="51">
        <v>44387.839999999313</v>
      </c>
      <c r="G546" s="52">
        <v>0.31877568640429016</v>
      </c>
      <c r="H546" s="53">
        <v>3085</v>
      </c>
      <c r="I546" s="52">
        <v>0.19342359767891681</v>
      </c>
      <c r="J546" s="53">
        <v>3085</v>
      </c>
      <c r="K546" s="52">
        <v>0.19342359767891681</v>
      </c>
      <c r="L546" s="53">
        <v>2104</v>
      </c>
      <c r="M546" s="52">
        <v>0.14596949891067537</v>
      </c>
      <c r="N546" s="53">
        <v>2104</v>
      </c>
      <c r="O546" s="52">
        <v>0.14596949891067537</v>
      </c>
      <c r="P546" s="51">
        <f t="shared" si="16"/>
        <v>1.4662547528517109</v>
      </c>
      <c r="Q546" s="50">
        <f t="shared" si="17"/>
        <v>21.09688212927724</v>
      </c>
      <c r="R546" s="39" t="s">
        <v>51</v>
      </c>
    </row>
    <row r="547" spans="1:18" x14ac:dyDescent="0.35">
      <c r="A547" s="54">
        <v>1260031</v>
      </c>
      <c r="B547" s="54">
        <v>107115</v>
      </c>
      <c r="C547" s="54" t="s">
        <v>332</v>
      </c>
      <c r="D547" s="51">
        <v>44378.509999999747</v>
      </c>
      <c r="E547" s="52">
        <v>-0.12247222782477571</v>
      </c>
      <c r="F547" s="51">
        <v>44378.509999999747</v>
      </c>
      <c r="G547" s="52">
        <v>-0.12247222782477571</v>
      </c>
      <c r="H547" s="53">
        <v>2675</v>
      </c>
      <c r="I547" s="52">
        <v>-0.15401644528779254</v>
      </c>
      <c r="J547" s="53">
        <v>2675</v>
      </c>
      <c r="K547" s="52">
        <v>-0.15401644528779254</v>
      </c>
      <c r="L547" s="53">
        <v>1850</v>
      </c>
      <c r="M547" s="52">
        <v>-0.15832575068243859</v>
      </c>
      <c r="N547" s="53">
        <v>1850</v>
      </c>
      <c r="O547" s="52">
        <v>-0.15832575068243859</v>
      </c>
      <c r="P547" s="51">
        <f t="shared" si="16"/>
        <v>1.4459459459459461</v>
      </c>
      <c r="Q547" s="50">
        <f t="shared" si="17"/>
        <v>23.988383783783647</v>
      </c>
      <c r="R547" s="39" t="s">
        <v>51</v>
      </c>
    </row>
    <row r="548" spans="1:18" x14ac:dyDescent="0.35">
      <c r="A548" s="54">
        <v>1240439</v>
      </c>
      <c r="B548" s="54">
        <v>107979</v>
      </c>
      <c r="C548" s="54" t="s">
        <v>331</v>
      </c>
      <c r="D548" s="51">
        <v>44233.329999999405</v>
      </c>
      <c r="E548" s="52"/>
      <c r="F548" s="51"/>
      <c r="G548" s="52"/>
      <c r="H548" s="53">
        <v>2848</v>
      </c>
      <c r="I548" s="52" t="s">
        <v>52</v>
      </c>
      <c r="J548" s="53"/>
      <c r="K548" s="52"/>
      <c r="L548" s="53">
        <v>1853</v>
      </c>
      <c r="M548" s="52" t="s">
        <v>52</v>
      </c>
      <c r="N548" s="53"/>
      <c r="O548" s="52"/>
      <c r="P548" s="51">
        <f t="shared" si="16"/>
        <v>1.5369670804101456</v>
      </c>
      <c r="Q548" s="50">
        <f t="shared" si="17"/>
        <v>23.871198057204211</v>
      </c>
      <c r="R548" s="39" t="s">
        <v>54</v>
      </c>
    </row>
    <row r="549" spans="1:18" x14ac:dyDescent="0.35">
      <c r="A549" s="54">
        <v>1070003</v>
      </c>
      <c r="B549" s="54">
        <v>106185</v>
      </c>
      <c r="C549" s="54" t="s">
        <v>330</v>
      </c>
      <c r="D549" s="51">
        <v>44111.789999999826</v>
      </c>
      <c r="E549" s="52"/>
      <c r="F549" s="51">
        <v>44111.789999999826</v>
      </c>
      <c r="G549" s="52"/>
      <c r="H549" s="53">
        <v>2494</v>
      </c>
      <c r="I549" s="52" t="s">
        <v>52</v>
      </c>
      <c r="J549" s="53">
        <v>2494</v>
      </c>
      <c r="K549" s="52"/>
      <c r="L549" s="53">
        <v>1695</v>
      </c>
      <c r="M549" s="52" t="s">
        <v>52</v>
      </c>
      <c r="N549" s="53">
        <v>1695</v>
      </c>
      <c r="O549" s="52"/>
      <c r="P549" s="51">
        <f t="shared" si="16"/>
        <v>1.4713864306784661</v>
      </c>
      <c r="Q549" s="50">
        <f t="shared" si="17"/>
        <v>26.024654867256533</v>
      </c>
      <c r="R549" s="39" t="s">
        <v>51</v>
      </c>
    </row>
    <row r="550" spans="1:18" x14ac:dyDescent="0.35">
      <c r="A550" s="54">
        <v>1210080</v>
      </c>
      <c r="B550" s="54">
        <v>106914</v>
      </c>
      <c r="C550" s="54" t="s">
        <v>329</v>
      </c>
      <c r="D550" s="51">
        <v>43991.329999999463</v>
      </c>
      <c r="E550" s="52">
        <v>-2.780581367365037E-2</v>
      </c>
      <c r="F550" s="51">
        <v>43991.329999999463</v>
      </c>
      <c r="G550" s="52">
        <v>-2.780581367365037E-2</v>
      </c>
      <c r="H550" s="53">
        <v>2927</v>
      </c>
      <c r="I550" s="52">
        <v>-6.3959066197633516E-2</v>
      </c>
      <c r="J550" s="53">
        <v>2927</v>
      </c>
      <c r="K550" s="52">
        <v>-6.3959066197633516E-2</v>
      </c>
      <c r="L550" s="53">
        <v>2196</v>
      </c>
      <c r="M550" s="52">
        <v>-4.0816326530612249E-3</v>
      </c>
      <c r="N550" s="53">
        <v>2196</v>
      </c>
      <c r="O550" s="52">
        <v>-4.0816326530612249E-3</v>
      </c>
      <c r="P550" s="51">
        <f t="shared" si="16"/>
        <v>1.3328779599271403</v>
      </c>
      <c r="Q550" s="50">
        <f t="shared" si="17"/>
        <v>20.032481785063506</v>
      </c>
      <c r="R550" s="39" t="s">
        <v>51</v>
      </c>
    </row>
    <row r="551" spans="1:18" x14ac:dyDescent="0.35">
      <c r="A551" s="54">
        <v>1230124</v>
      </c>
      <c r="B551" s="54">
        <v>107131</v>
      </c>
      <c r="C551" s="54" t="s">
        <v>328</v>
      </c>
      <c r="D551" s="51">
        <v>43946.059999999627</v>
      </c>
      <c r="E551" s="52">
        <v>0.50757060402568599</v>
      </c>
      <c r="F551" s="51">
        <v>43946.059999999627</v>
      </c>
      <c r="G551" s="52">
        <v>0.50757060402568599</v>
      </c>
      <c r="H551" s="53">
        <v>2719</v>
      </c>
      <c r="I551" s="52">
        <v>0.38795303726391017</v>
      </c>
      <c r="J551" s="53">
        <v>2719</v>
      </c>
      <c r="K551" s="52">
        <v>0.38795303726391017</v>
      </c>
      <c r="L551" s="53">
        <v>1946</v>
      </c>
      <c r="M551" s="52">
        <v>0.40505415162454872</v>
      </c>
      <c r="N551" s="53">
        <v>1946</v>
      </c>
      <c r="O551" s="52">
        <v>0.40505415162454872</v>
      </c>
      <c r="P551" s="51">
        <f t="shared" si="16"/>
        <v>1.3972250770811923</v>
      </c>
      <c r="Q551" s="50">
        <f t="shared" si="17"/>
        <v>22.582764645426323</v>
      </c>
      <c r="R551" s="39" t="s">
        <v>51</v>
      </c>
    </row>
    <row r="552" spans="1:18" x14ac:dyDescent="0.35">
      <c r="A552" s="54">
        <v>1240068</v>
      </c>
      <c r="B552" s="54">
        <v>100935</v>
      </c>
      <c r="C552" s="54" t="s">
        <v>327</v>
      </c>
      <c r="D552" s="51">
        <v>43899.839999999334</v>
      </c>
      <c r="E552" s="52">
        <v>0.17807895680324337</v>
      </c>
      <c r="F552" s="51">
        <v>43899.839999999334</v>
      </c>
      <c r="G552" s="52">
        <v>0.17807895680324337</v>
      </c>
      <c r="H552" s="53">
        <v>2974</v>
      </c>
      <c r="I552" s="52">
        <v>6.3282087951376478E-2</v>
      </c>
      <c r="J552" s="53">
        <v>2974</v>
      </c>
      <c r="K552" s="52">
        <v>6.3282087951376478E-2</v>
      </c>
      <c r="L552" s="53">
        <v>1988</v>
      </c>
      <c r="M552" s="52">
        <v>3.3801352054082162E-2</v>
      </c>
      <c r="N552" s="53">
        <v>1988</v>
      </c>
      <c r="O552" s="52">
        <v>3.3801352054082162E-2</v>
      </c>
      <c r="P552" s="51">
        <f t="shared" si="16"/>
        <v>1.4959758551307847</v>
      </c>
      <c r="Q552" s="50">
        <f t="shared" si="17"/>
        <v>22.082414486921195</v>
      </c>
      <c r="R552" s="39" t="s">
        <v>51</v>
      </c>
    </row>
    <row r="553" spans="1:18" x14ac:dyDescent="0.35">
      <c r="A553" s="54">
        <v>1230073</v>
      </c>
      <c r="B553" s="54">
        <v>103471</v>
      </c>
      <c r="C553" s="54" t="s">
        <v>326</v>
      </c>
      <c r="D553" s="51">
        <v>43719.859999999426</v>
      </c>
      <c r="E553" s="52">
        <v>0.10680836154369393</v>
      </c>
      <c r="F553" s="51">
        <v>43719.859999999426</v>
      </c>
      <c r="G553" s="52">
        <v>0.10680836154369393</v>
      </c>
      <c r="H553" s="53">
        <v>2960.99</v>
      </c>
      <c r="I553" s="52">
        <v>-1.2344896597731895E-2</v>
      </c>
      <c r="J553" s="53">
        <v>2960.99</v>
      </c>
      <c r="K553" s="52">
        <v>-1.2344896597731895E-2</v>
      </c>
      <c r="L553" s="53">
        <v>2100</v>
      </c>
      <c r="M553" s="52">
        <v>1.6456921587608905E-2</v>
      </c>
      <c r="N553" s="53">
        <v>2100</v>
      </c>
      <c r="O553" s="52">
        <v>1.6456921587608905E-2</v>
      </c>
      <c r="P553" s="51">
        <f t="shared" si="16"/>
        <v>1.4099952380952381</v>
      </c>
      <c r="Q553" s="50">
        <f t="shared" si="17"/>
        <v>20.818980952380677</v>
      </c>
      <c r="R553" s="39" t="s">
        <v>51</v>
      </c>
    </row>
    <row r="554" spans="1:18" x14ac:dyDescent="0.35">
      <c r="A554" s="54">
        <v>1240227</v>
      </c>
      <c r="B554" s="54">
        <v>103715</v>
      </c>
      <c r="C554" s="54" t="s">
        <v>325</v>
      </c>
      <c r="D554" s="51">
        <v>43495.659999999567</v>
      </c>
      <c r="E554" s="52">
        <v>-0.12076373029051317</v>
      </c>
      <c r="F554" s="51">
        <v>43495.659999999567</v>
      </c>
      <c r="G554" s="52">
        <v>-0.12076373029051317</v>
      </c>
      <c r="H554" s="53">
        <v>2761</v>
      </c>
      <c r="I554" s="52">
        <v>-0.17087087087087088</v>
      </c>
      <c r="J554" s="53">
        <v>2761</v>
      </c>
      <c r="K554" s="52">
        <v>-0.17087087087087088</v>
      </c>
      <c r="L554" s="53">
        <v>1351</v>
      </c>
      <c r="M554" s="52">
        <v>1.4825796886582653E-3</v>
      </c>
      <c r="N554" s="53">
        <v>1351</v>
      </c>
      <c r="O554" s="52">
        <v>1.4825796886582653E-3</v>
      </c>
      <c r="P554" s="51">
        <f t="shared" si="16"/>
        <v>2.0436713545521834</v>
      </c>
      <c r="Q554" s="50">
        <f t="shared" si="17"/>
        <v>32.195159141376436</v>
      </c>
      <c r="R554" s="39" t="s">
        <v>70</v>
      </c>
    </row>
    <row r="555" spans="1:18" x14ac:dyDescent="0.35">
      <c r="A555" s="54">
        <v>1200020</v>
      </c>
      <c r="B555" s="54">
        <v>105931</v>
      </c>
      <c r="C555" s="54" t="s">
        <v>324</v>
      </c>
      <c r="D555" s="51">
        <v>43132.789999999484</v>
      </c>
      <c r="E555" s="52">
        <v>0.13355147904049888</v>
      </c>
      <c r="F555" s="51">
        <v>43132.789999999484</v>
      </c>
      <c r="G555" s="52">
        <v>0.13355147904049888</v>
      </c>
      <c r="H555" s="53">
        <v>3001</v>
      </c>
      <c r="I555" s="52">
        <v>2.3882633913340157E-2</v>
      </c>
      <c r="J555" s="53">
        <v>3001</v>
      </c>
      <c r="K555" s="52">
        <v>2.3882633913340157E-2</v>
      </c>
      <c r="L555" s="53">
        <v>1927</v>
      </c>
      <c r="M555" s="52">
        <v>2.2823779193205943E-2</v>
      </c>
      <c r="N555" s="53">
        <v>1927</v>
      </c>
      <c r="O555" s="52">
        <v>2.2823779193205943E-2</v>
      </c>
      <c r="P555" s="51">
        <f t="shared" si="16"/>
        <v>1.5573430202387131</v>
      </c>
      <c r="Q555" s="50">
        <f t="shared" si="17"/>
        <v>22.383388687078092</v>
      </c>
      <c r="R555" s="39" t="s">
        <v>54</v>
      </c>
    </row>
    <row r="556" spans="1:18" x14ac:dyDescent="0.35">
      <c r="A556" s="54">
        <v>1240129</v>
      </c>
      <c r="B556" s="54">
        <v>100362</v>
      </c>
      <c r="C556" s="54" t="s">
        <v>323</v>
      </c>
      <c r="D556" s="51">
        <v>42437.769999999393</v>
      </c>
      <c r="E556" s="52">
        <v>0.11884622016274092</v>
      </c>
      <c r="F556" s="51">
        <v>42437.769999999393</v>
      </c>
      <c r="G556" s="52">
        <v>0.11884622016274092</v>
      </c>
      <c r="H556" s="53">
        <v>2755</v>
      </c>
      <c r="I556" s="52">
        <v>2.8752800597460791E-2</v>
      </c>
      <c r="J556" s="53">
        <v>2755</v>
      </c>
      <c r="K556" s="52">
        <v>2.8752800597460791E-2</v>
      </c>
      <c r="L556" s="53">
        <v>1664</v>
      </c>
      <c r="M556" s="52">
        <v>-1.2462908011869436E-2</v>
      </c>
      <c r="N556" s="53">
        <v>1664</v>
      </c>
      <c r="O556" s="52">
        <v>-1.2462908011869436E-2</v>
      </c>
      <c r="P556" s="51">
        <f t="shared" si="16"/>
        <v>1.6556490384615385</v>
      </c>
      <c r="Q556" s="50">
        <f t="shared" si="17"/>
        <v>25.503467548076557</v>
      </c>
      <c r="R556" s="39" t="s">
        <v>54</v>
      </c>
    </row>
    <row r="557" spans="1:18" x14ac:dyDescent="0.35">
      <c r="A557" s="54">
        <v>1230026</v>
      </c>
      <c r="B557" s="54">
        <v>100296</v>
      </c>
      <c r="C557" s="54" t="s">
        <v>322</v>
      </c>
      <c r="D557" s="51">
        <v>42316.939999999267</v>
      </c>
      <c r="E557" s="52">
        <v>-1.0343037287892065E-2</v>
      </c>
      <c r="F557" s="51">
        <v>42316.939999999267</v>
      </c>
      <c r="G557" s="52">
        <v>-1.0343037287892065E-2</v>
      </c>
      <c r="H557" s="53">
        <v>2836</v>
      </c>
      <c r="I557" s="52">
        <v>-9.0150786012191203E-2</v>
      </c>
      <c r="J557" s="53">
        <v>2836</v>
      </c>
      <c r="K557" s="52">
        <v>-9.0150786012191203E-2</v>
      </c>
      <c r="L557" s="53">
        <v>2232</v>
      </c>
      <c r="M557" s="52">
        <v>-0.10072522159548751</v>
      </c>
      <c r="N557" s="53">
        <v>2232</v>
      </c>
      <c r="O557" s="52">
        <v>-0.10072522159548751</v>
      </c>
      <c r="P557" s="51">
        <f t="shared" si="16"/>
        <v>1.2706093189964158</v>
      </c>
      <c r="Q557" s="50">
        <f t="shared" si="17"/>
        <v>18.959202508960246</v>
      </c>
      <c r="R557" s="39" t="s">
        <v>51</v>
      </c>
    </row>
    <row r="558" spans="1:18" x14ac:dyDescent="0.35">
      <c r="A558" s="54">
        <v>1240266</v>
      </c>
      <c r="B558" s="54">
        <v>104786</v>
      </c>
      <c r="C558" s="54" t="s">
        <v>321</v>
      </c>
      <c r="D558" s="51">
        <v>42153.369999999617</v>
      </c>
      <c r="E558" s="52">
        <v>5.1948801397905271E-3</v>
      </c>
      <c r="F558" s="51">
        <v>42153.369999999617</v>
      </c>
      <c r="G558" s="52">
        <v>5.1948801397905271E-3</v>
      </c>
      <c r="H558" s="53">
        <v>3095</v>
      </c>
      <c r="I558" s="52">
        <v>-5.6114669106434888E-2</v>
      </c>
      <c r="J558" s="53">
        <v>3095</v>
      </c>
      <c r="K558" s="52">
        <v>-5.6114669106434888E-2</v>
      </c>
      <c r="L558" s="53">
        <v>1936</v>
      </c>
      <c r="M558" s="52">
        <v>-8.0285035629453688E-2</v>
      </c>
      <c r="N558" s="53">
        <v>1936</v>
      </c>
      <c r="O558" s="52">
        <v>-8.0285035629453688E-2</v>
      </c>
      <c r="P558" s="51">
        <f t="shared" si="16"/>
        <v>1.5986570247933884</v>
      </c>
      <c r="Q558" s="50">
        <f t="shared" si="17"/>
        <v>21.773434917355175</v>
      </c>
      <c r="R558" s="39" t="s">
        <v>54</v>
      </c>
    </row>
    <row r="559" spans="1:18" x14ac:dyDescent="0.35">
      <c r="A559" s="54">
        <v>1240172</v>
      </c>
      <c r="B559" s="54">
        <v>106738</v>
      </c>
      <c r="C559" s="54" t="s">
        <v>320</v>
      </c>
      <c r="D559" s="51">
        <v>42125.239999999401</v>
      </c>
      <c r="E559" s="52">
        <v>-0.19209843205658941</v>
      </c>
      <c r="F559" s="51">
        <v>42125.239999999401</v>
      </c>
      <c r="G559" s="52">
        <v>-0.19209843205658941</v>
      </c>
      <c r="H559" s="53">
        <v>2918</v>
      </c>
      <c r="I559" s="52">
        <v>-0.26387487386478303</v>
      </c>
      <c r="J559" s="53">
        <v>2918</v>
      </c>
      <c r="K559" s="52">
        <v>-0.26387487386478303</v>
      </c>
      <c r="L559" s="53">
        <v>1943</v>
      </c>
      <c r="M559" s="52">
        <v>-0.23503937007874015</v>
      </c>
      <c r="N559" s="53">
        <v>1943</v>
      </c>
      <c r="O559" s="52">
        <v>-0.23503937007874015</v>
      </c>
      <c r="P559" s="51">
        <f t="shared" si="16"/>
        <v>1.5018013381369018</v>
      </c>
      <c r="Q559" s="50">
        <f t="shared" si="17"/>
        <v>21.680514668038807</v>
      </c>
      <c r="R559" s="39" t="s">
        <v>54</v>
      </c>
    </row>
    <row r="560" spans="1:18" x14ac:dyDescent="0.35">
      <c r="A560" s="54">
        <v>1230067</v>
      </c>
      <c r="B560" s="54">
        <v>102713</v>
      </c>
      <c r="C560" s="54" t="s">
        <v>319</v>
      </c>
      <c r="D560" s="51">
        <v>42026.959999999475</v>
      </c>
      <c r="E560" s="52">
        <v>0.13837960270575661</v>
      </c>
      <c r="F560" s="51">
        <v>42026.959999999475</v>
      </c>
      <c r="G560" s="52">
        <v>0.13837960270575661</v>
      </c>
      <c r="H560" s="53">
        <v>2274</v>
      </c>
      <c r="I560" s="52">
        <v>-9.1503267973856214E-3</v>
      </c>
      <c r="J560" s="53">
        <v>2274</v>
      </c>
      <c r="K560" s="52">
        <v>-9.1503267973856214E-3</v>
      </c>
      <c r="L560" s="53">
        <v>1651</v>
      </c>
      <c r="M560" s="52">
        <v>5.4811205846528625E-3</v>
      </c>
      <c r="N560" s="53">
        <v>1651</v>
      </c>
      <c r="O560" s="52">
        <v>5.4811205846528625E-3</v>
      </c>
      <c r="P560" s="51">
        <f t="shared" si="16"/>
        <v>1.3773470623864326</v>
      </c>
      <c r="Q560" s="50">
        <f t="shared" si="17"/>
        <v>25.455457298606586</v>
      </c>
      <c r="R560" s="39" t="s">
        <v>51</v>
      </c>
    </row>
    <row r="561" spans="1:18" x14ac:dyDescent="0.35">
      <c r="A561" s="54">
        <v>1240312</v>
      </c>
      <c r="B561" s="54">
        <v>105501</v>
      </c>
      <c r="C561" s="54" t="s">
        <v>318</v>
      </c>
      <c r="D561" s="51">
        <v>41905.149999999405</v>
      </c>
      <c r="E561" s="52">
        <v>0.17729912449488686</v>
      </c>
      <c r="F561" s="51">
        <v>41905.149999999405</v>
      </c>
      <c r="G561" s="52">
        <v>0.17729912449488686</v>
      </c>
      <c r="H561" s="53">
        <v>2809</v>
      </c>
      <c r="I561" s="52">
        <v>3.0447542186353631E-2</v>
      </c>
      <c r="J561" s="53">
        <v>2809</v>
      </c>
      <c r="K561" s="52">
        <v>3.0447542186353631E-2</v>
      </c>
      <c r="L561" s="53">
        <v>1885</v>
      </c>
      <c r="M561" s="52">
        <v>2.4456521739130436E-2</v>
      </c>
      <c r="N561" s="53">
        <v>1885</v>
      </c>
      <c r="O561" s="52">
        <v>2.4456521739130436E-2</v>
      </c>
      <c r="P561" s="51">
        <f t="shared" si="16"/>
        <v>1.4901856763925729</v>
      </c>
      <c r="Q561" s="50">
        <f t="shared" si="17"/>
        <v>22.230848806365731</v>
      </c>
      <c r="R561" s="39" t="s">
        <v>51</v>
      </c>
    </row>
    <row r="562" spans="1:18" x14ac:dyDescent="0.35">
      <c r="A562" s="54">
        <v>1240372</v>
      </c>
      <c r="B562" s="54">
        <v>106821</v>
      </c>
      <c r="C562" s="54" t="s">
        <v>317</v>
      </c>
      <c r="D562" s="51">
        <v>41523.979999999414</v>
      </c>
      <c r="E562" s="52">
        <v>0.15780818251017295</v>
      </c>
      <c r="F562" s="51">
        <v>41523.979999999414</v>
      </c>
      <c r="G562" s="52">
        <v>0.15780818251017295</v>
      </c>
      <c r="H562" s="53">
        <v>2682</v>
      </c>
      <c r="I562" s="52">
        <v>8.1887858007260991E-2</v>
      </c>
      <c r="J562" s="53">
        <v>2682</v>
      </c>
      <c r="K562" s="52">
        <v>8.1887858007260991E-2</v>
      </c>
      <c r="L562" s="53">
        <v>1835</v>
      </c>
      <c r="M562" s="52">
        <v>0.12095296273671351</v>
      </c>
      <c r="N562" s="53">
        <v>1835</v>
      </c>
      <c r="O562" s="52">
        <v>0.12095296273671351</v>
      </c>
      <c r="P562" s="51">
        <f t="shared" si="16"/>
        <v>1.4615803814713897</v>
      </c>
      <c r="Q562" s="50">
        <f t="shared" si="17"/>
        <v>22.628871934604586</v>
      </c>
      <c r="R562" s="39" t="s">
        <v>51</v>
      </c>
    </row>
    <row r="563" spans="1:18" x14ac:dyDescent="0.35">
      <c r="A563" s="54">
        <v>1240438</v>
      </c>
      <c r="B563" s="54">
        <v>107921</v>
      </c>
      <c r="C563" s="54" t="s">
        <v>316</v>
      </c>
      <c r="D563" s="51">
        <v>41466.289999999455</v>
      </c>
      <c r="E563" s="52"/>
      <c r="F563" s="51"/>
      <c r="G563" s="52"/>
      <c r="H563" s="53">
        <v>2521</v>
      </c>
      <c r="I563" s="52" t="s">
        <v>52</v>
      </c>
      <c r="J563" s="53"/>
      <c r="K563" s="52"/>
      <c r="L563" s="53">
        <v>1860</v>
      </c>
      <c r="M563" s="52" t="s">
        <v>52</v>
      </c>
      <c r="N563" s="53"/>
      <c r="O563" s="52"/>
      <c r="P563" s="51">
        <f t="shared" si="16"/>
        <v>1.3553763440860216</v>
      </c>
      <c r="Q563" s="50">
        <f t="shared" si="17"/>
        <v>22.293704301074975</v>
      </c>
      <c r="R563" s="39" t="s">
        <v>51</v>
      </c>
    </row>
    <row r="564" spans="1:18" x14ac:dyDescent="0.35">
      <c r="A564" s="54">
        <v>1200018</v>
      </c>
      <c r="B564" s="54">
        <v>105344</v>
      </c>
      <c r="C564" s="54" t="s">
        <v>315</v>
      </c>
      <c r="D564" s="51">
        <v>41224.010000000053</v>
      </c>
      <c r="E564" s="52">
        <v>-0.18714316502602382</v>
      </c>
      <c r="F564" s="51">
        <v>41224.010000000053</v>
      </c>
      <c r="G564" s="52">
        <v>-0.18714316502602382</v>
      </c>
      <c r="H564" s="53">
        <v>2307</v>
      </c>
      <c r="I564" s="52">
        <v>-0.26528662420382165</v>
      </c>
      <c r="J564" s="53">
        <v>2307</v>
      </c>
      <c r="K564" s="52">
        <v>-0.26528662420382165</v>
      </c>
      <c r="L564" s="53">
        <v>1661</v>
      </c>
      <c r="M564" s="52">
        <v>-0.26243339253996445</v>
      </c>
      <c r="N564" s="53">
        <v>1661</v>
      </c>
      <c r="O564" s="52">
        <v>-0.26243339253996445</v>
      </c>
      <c r="P564" s="51">
        <f t="shared" si="16"/>
        <v>1.3889223359422036</v>
      </c>
      <c r="Q564" s="50">
        <f t="shared" si="17"/>
        <v>24.81878988561111</v>
      </c>
      <c r="R564" s="39" t="s">
        <v>51</v>
      </c>
    </row>
    <row r="565" spans="1:18" x14ac:dyDescent="0.35">
      <c r="A565" s="54">
        <v>1240218</v>
      </c>
      <c r="B565" s="54">
        <v>103413</v>
      </c>
      <c r="C565" s="54" t="s">
        <v>314</v>
      </c>
      <c r="D565" s="51">
        <v>40903.369999999428</v>
      </c>
      <c r="E565" s="52">
        <v>6.7019475805295936E-2</v>
      </c>
      <c r="F565" s="51">
        <v>40903.369999999428</v>
      </c>
      <c r="G565" s="52">
        <v>6.7019475805295936E-2</v>
      </c>
      <c r="H565" s="53">
        <v>2685</v>
      </c>
      <c r="I565" s="52">
        <v>-2.1144732045205977E-2</v>
      </c>
      <c r="J565" s="53">
        <v>2685</v>
      </c>
      <c r="K565" s="52">
        <v>-2.1144732045205977E-2</v>
      </c>
      <c r="L565" s="53">
        <v>1889</v>
      </c>
      <c r="M565" s="52">
        <v>7.4666666666666666E-3</v>
      </c>
      <c r="N565" s="53">
        <v>1889</v>
      </c>
      <c r="O565" s="52">
        <v>7.4666666666666666E-3</v>
      </c>
      <c r="P565" s="51">
        <f t="shared" si="16"/>
        <v>1.4213869772366332</v>
      </c>
      <c r="Q565" s="50">
        <f t="shared" si="17"/>
        <v>21.65345156167254</v>
      </c>
      <c r="R565" s="39" t="s">
        <v>51</v>
      </c>
    </row>
    <row r="566" spans="1:18" x14ac:dyDescent="0.35">
      <c r="A566" s="54">
        <v>1240340</v>
      </c>
      <c r="B566" s="54">
        <v>106003</v>
      </c>
      <c r="C566" s="54" t="s">
        <v>313</v>
      </c>
      <c r="D566" s="51">
        <v>40296.189999999508</v>
      </c>
      <c r="E566" s="52">
        <v>-0.25375145722045589</v>
      </c>
      <c r="F566" s="51">
        <v>40296.189999999508</v>
      </c>
      <c r="G566" s="52">
        <v>-0.25375145722045589</v>
      </c>
      <c r="H566" s="53">
        <v>2527</v>
      </c>
      <c r="I566" s="52">
        <v>-0.33006362672322376</v>
      </c>
      <c r="J566" s="53">
        <v>2527</v>
      </c>
      <c r="K566" s="52">
        <v>-0.33006362672322376</v>
      </c>
      <c r="L566" s="53">
        <v>1806</v>
      </c>
      <c r="M566" s="52">
        <v>-0.31823329558323898</v>
      </c>
      <c r="N566" s="53">
        <v>1806</v>
      </c>
      <c r="O566" s="52">
        <v>-0.31823329558323898</v>
      </c>
      <c r="P566" s="51">
        <f t="shared" si="16"/>
        <v>1.3992248062015504</v>
      </c>
      <c r="Q566" s="50">
        <f t="shared" si="17"/>
        <v>22.31239756367636</v>
      </c>
      <c r="R566" s="39" t="s">
        <v>51</v>
      </c>
    </row>
    <row r="567" spans="1:18" x14ac:dyDescent="0.35">
      <c r="A567" s="54">
        <v>1240157</v>
      </c>
      <c r="B567" s="54">
        <v>105481</v>
      </c>
      <c r="C567" s="54" t="s">
        <v>312</v>
      </c>
      <c r="D567" s="51">
        <v>40131.619999999435</v>
      </c>
      <c r="E567" s="52">
        <v>-0.15330383835571307</v>
      </c>
      <c r="F567" s="51">
        <v>40131.619999999435</v>
      </c>
      <c r="G567" s="52">
        <v>-0.15330383835571307</v>
      </c>
      <c r="H567" s="53">
        <v>2651</v>
      </c>
      <c r="I567" s="52">
        <v>-0.24772985244040863</v>
      </c>
      <c r="J567" s="53">
        <v>2651</v>
      </c>
      <c r="K567" s="52">
        <v>-0.24772985244040863</v>
      </c>
      <c r="L567" s="53">
        <v>1846</v>
      </c>
      <c r="M567" s="52">
        <v>-0.2616</v>
      </c>
      <c r="N567" s="53">
        <v>1846</v>
      </c>
      <c r="O567" s="52">
        <v>-0.2616</v>
      </c>
      <c r="P567" s="51">
        <f t="shared" si="16"/>
        <v>1.4360780065005416</v>
      </c>
      <c r="Q567" s="50">
        <f t="shared" si="17"/>
        <v>21.739772481039779</v>
      </c>
      <c r="R567" s="39" t="s">
        <v>51</v>
      </c>
    </row>
    <row r="568" spans="1:18" x14ac:dyDescent="0.35">
      <c r="A568" s="54">
        <v>1240361</v>
      </c>
      <c r="B568" s="54">
        <v>106733</v>
      </c>
      <c r="C568" s="54" t="s">
        <v>311</v>
      </c>
      <c r="D568" s="51">
        <v>40108.659999999363</v>
      </c>
      <c r="E568" s="52">
        <v>2.2204053629396855E-2</v>
      </c>
      <c r="F568" s="51">
        <v>40108.659999999363</v>
      </c>
      <c r="G568" s="52">
        <v>2.2204053629396855E-2</v>
      </c>
      <c r="H568" s="53">
        <v>2769</v>
      </c>
      <c r="I568" s="52">
        <v>-4.4183638246461855E-2</v>
      </c>
      <c r="J568" s="53">
        <v>2769</v>
      </c>
      <c r="K568" s="52">
        <v>-4.4183638246461855E-2</v>
      </c>
      <c r="L568" s="53">
        <v>1956</v>
      </c>
      <c r="M568" s="52">
        <v>-3.6927621861152143E-2</v>
      </c>
      <c r="N568" s="53">
        <v>1956</v>
      </c>
      <c r="O568" s="52">
        <v>-3.6927621861152143E-2</v>
      </c>
      <c r="P568" s="51">
        <f t="shared" si="16"/>
        <v>1.415644171779141</v>
      </c>
      <c r="Q568" s="50">
        <f t="shared" si="17"/>
        <v>20.505449897750186</v>
      </c>
      <c r="R568" s="39" t="s">
        <v>51</v>
      </c>
    </row>
    <row r="569" spans="1:18" x14ac:dyDescent="0.35">
      <c r="A569" s="54">
        <v>1240366</v>
      </c>
      <c r="B569" s="54">
        <v>106759</v>
      </c>
      <c r="C569" s="54" t="s">
        <v>310</v>
      </c>
      <c r="D569" s="51">
        <v>40063.289999999426</v>
      </c>
      <c r="E569" s="52">
        <v>1.979785479881604E-3</v>
      </c>
      <c r="F569" s="51">
        <v>40063.289999999426</v>
      </c>
      <c r="G569" s="52">
        <v>1.979785479881604E-3</v>
      </c>
      <c r="H569" s="53">
        <v>2634</v>
      </c>
      <c r="I569" s="52">
        <v>-7.4490513000702738E-2</v>
      </c>
      <c r="J569" s="53">
        <v>2634</v>
      </c>
      <c r="K569" s="52">
        <v>-7.4490513000702738E-2</v>
      </c>
      <c r="L569" s="53">
        <v>1848</v>
      </c>
      <c r="M569" s="52">
        <v>-8.0597014925373134E-2</v>
      </c>
      <c r="N569" s="53">
        <v>1848</v>
      </c>
      <c r="O569" s="52">
        <v>-8.0597014925373134E-2</v>
      </c>
      <c r="P569" s="51">
        <f t="shared" si="16"/>
        <v>1.4253246753246753</v>
      </c>
      <c r="Q569" s="50">
        <f t="shared" si="17"/>
        <v>21.679269480519171</v>
      </c>
      <c r="R569" s="39" t="s">
        <v>51</v>
      </c>
    </row>
    <row r="570" spans="1:18" x14ac:dyDescent="0.35">
      <c r="A570" s="54">
        <v>1230052</v>
      </c>
      <c r="B570" s="54">
        <v>101045</v>
      </c>
      <c r="C570" s="54" t="s">
        <v>309</v>
      </c>
      <c r="D570" s="51">
        <v>39943.459999999424</v>
      </c>
      <c r="E570" s="52">
        <v>-0.20159946111632993</v>
      </c>
      <c r="F570" s="51">
        <v>39943.459999999424</v>
      </c>
      <c r="G570" s="52">
        <v>-0.20159946111632993</v>
      </c>
      <c r="H570" s="53">
        <v>2677</v>
      </c>
      <c r="I570" s="52">
        <v>-0.29161153744376817</v>
      </c>
      <c r="J570" s="53">
        <v>2677</v>
      </c>
      <c r="K570" s="52">
        <v>-0.29161153744376817</v>
      </c>
      <c r="L570" s="53">
        <v>2074</v>
      </c>
      <c r="M570" s="52">
        <v>-0.25234318673395817</v>
      </c>
      <c r="N570" s="53">
        <v>2074</v>
      </c>
      <c r="O570" s="52">
        <v>-0.25234318673395817</v>
      </c>
      <c r="P570" s="51">
        <f t="shared" si="16"/>
        <v>1.2907425265188042</v>
      </c>
      <c r="Q570" s="50">
        <f t="shared" si="17"/>
        <v>19.259141755062402</v>
      </c>
      <c r="R570" s="39" t="s">
        <v>51</v>
      </c>
    </row>
    <row r="571" spans="1:18" x14ac:dyDescent="0.35">
      <c r="A571" s="54">
        <v>1240370</v>
      </c>
      <c r="B571" s="54">
        <v>106806</v>
      </c>
      <c r="C571" s="54" t="s">
        <v>308</v>
      </c>
      <c r="D571" s="51">
        <v>39804.56999999941</v>
      </c>
      <c r="E571" s="52">
        <v>0.32250323112242335</v>
      </c>
      <c r="F571" s="51">
        <v>39804.56999999941</v>
      </c>
      <c r="G571" s="52">
        <v>0.32250323112242335</v>
      </c>
      <c r="H571" s="53">
        <v>2622</v>
      </c>
      <c r="I571" s="52">
        <v>0.23679245283018868</v>
      </c>
      <c r="J571" s="53">
        <v>2622</v>
      </c>
      <c r="K571" s="52">
        <v>0.23679245283018868</v>
      </c>
      <c r="L571" s="53">
        <v>1832</v>
      </c>
      <c r="M571" s="52">
        <v>0.2731063238359972</v>
      </c>
      <c r="N571" s="53">
        <v>1832</v>
      </c>
      <c r="O571" s="52">
        <v>0.2731063238359972</v>
      </c>
      <c r="P571" s="51">
        <f t="shared" si="16"/>
        <v>1.4312227074235808</v>
      </c>
      <c r="Q571" s="50">
        <f t="shared" si="17"/>
        <v>21.727385371178716</v>
      </c>
      <c r="R571" s="39" t="s">
        <v>51</v>
      </c>
    </row>
    <row r="572" spans="1:18" x14ac:dyDescent="0.35">
      <c r="A572" s="54">
        <v>1160022</v>
      </c>
      <c r="B572" s="54">
        <v>106346</v>
      </c>
      <c r="C572" s="54" t="s">
        <v>307</v>
      </c>
      <c r="D572" s="51">
        <v>39773.799999999304</v>
      </c>
      <c r="E572" s="52">
        <v>0.15479411526454523</v>
      </c>
      <c r="F572" s="51">
        <v>39773.799999999304</v>
      </c>
      <c r="G572" s="52">
        <v>0.15479411526454523</v>
      </c>
      <c r="H572" s="53">
        <v>2466</v>
      </c>
      <c r="I572" s="52">
        <v>9.1633466135458169E-2</v>
      </c>
      <c r="J572" s="53">
        <v>2466</v>
      </c>
      <c r="K572" s="52">
        <v>9.1633466135458169E-2</v>
      </c>
      <c r="L572" s="53">
        <v>1661</v>
      </c>
      <c r="M572" s="52">
        <v>2.6576019777503089E-2</v>
      </c>
      <c r="N572" s="53">
        <v>1661</v>
      </c>
      <c r="O572" s="52">
        <v>2.6576019777503089E-2</v>
      </c>
      <c r="P572" s="51">
        <f t="shared" si="16"/>
        <v>1.4846478025285972</v>
      </c>
      <c r="Q572" s="50">
        <f t="shared" si="17"/>
        <v>23.945695364237991</v>
      </c>
      <c r="R572" s="39" t="s">
        <v>51</v>
      </c>
    </row>
    <row r="573" spans="1:18" x14ac:dyDescent="0.35">
      <c r="A573" s="54">
        <v>1240184</v>
      </c>
      <c r="B573" s="54">
        <v>106190</v>
      </c>
      <c r="C573" s="54" t="s">
        <v>306</v>
      </c>
      <c r="D573" s="51">
        <v>39512.539999999572</v>
      </c>
      <c r="E573" s="52">
        <v>0.75667424390280824</v>
      </c>
      <c r="F573" s="51">
        <v>39512.539999999572</v>
      </c>
      <c r="G573" s="52">
        <v>0.75667424390280824</v>
      </c>
      <c r="H573" s="53">
        <v>2741.0099999999998</v>
      </c>
      <c r="I573" s="52">
        <v>0.69198148148148131</v>
      </c>
      <c r="J573" s="53">
        <v>2741.0099999999998</v>
      </c>
      <c r="K573" s="52">
        <v>0.69198148148148131</v>
      </c>
      <c r="L573" s="53">
        <v>1579</v>
      </c>
      <c r="M573" s="52">
        <v>0.70334412081984898</v>
      </c>
      <c r="N573" s="53">
        <v>1579</v>
      </c>
      <c r="O573" s="52">
        <v>0.70334412081984898</v>
      </c>
      <c r="P573" s="51">
        <f t="shared" si="16"/>
        <v>1.7359151361621277</v>
      </c>
      <c r="Q573" s="50">
        <f t="shared" si="17"/>
        <v>25.023774540848368</v>
      </c>
      <c r="R573" s="39" t="s">
        <v>54</v>
      </c>
    </row>
    <row r="574" spans="1:18" x14ac:dyDescent="0.35">
      <c r="A574" s="54">
        <v>1230132</v>
      </c>
      <c r="B574" s="54">
        <v>107734</v>
      </c>
      <c r="C574" s="54" t="s">
        <v>305</v>
      </c>
      <c r="D574" s="51">
        <v>39155.929999999549</v>
      </c>
      <c r="E574" s="52"/>
      <c r="F574" s="51"/>
      <c r="G574" s="52"/>
      <c r="H574" s="53">
        <v>2461</v>
      </c>
      <c r="I574" s="52" t="s">
        <v>52</v>
      </c>
      <c r="J574" s="53"/>
      <c r="K574" s="52"/>
      <c r="L574" s="53">
        <v>1901</v>
      </c>
      <c r="M574" s="52" t="s">
        <v>52</v>
      </c>
      <c r="N574" s="53"/>
      <c r="O574" s="52"/>
      <c r="P574" s="51">
        <f t="shared" si="16"/>
        <v>1.2945817990531299</v>
      </c>
      <c r="Q574" s="50">
        <f t="shared" si="17"/>
        <v>20.597543398211229</v>
      </c>
      <c r="R574" s="39" t="s">
        <v>51</v>
      </c>
    </row>
    <row r="575" spans="1:18" x14ac:dyDescent="0.35">
      <c r="A575" s="54">
        <v>1240391</v>
      </c>
      <c r="B575" s="54">
        <v>106955</v>
      </c>
      <c r="C575" s="54" t="s">
        <v>304</v>
      </c>
      <c r="D575" s="51">
        <v>39043.619999999479</v>
      </c>
      <c r="E575" s="52">
        <v>-2.9305107559635297E-2</v>
      </c>
      <c r="F575" s="51">
        <v>39043.619999999479</v>
      </c>
      <c r="G575" s="52">
        <v>-2.9305107559635297E-2</v>
      </c>
      <c r="H575" s="53">
        <v>2532</v>
      </c>
      <c r="I575" s="52">
        <v>-0.10244594115561857</v>
      </c>
      <c r="J575" s="53">
        <v>2532</v>
      </c>
      <c r="K575" s="52">
        <v>-0.10244594115561857</v>
      </c>
      <c r="L575" s="53">
        <v>1625</v>
      </c>
      <c r="M575" s="52">
        <v>-0.11153635866593767</v>
      </c>
      <c r="N575" s="53">
        <v>1625</v>
      </c>
      <c r="O575" s="52">
        <v>-0.11153635866593767</v>
      </c>
      <c r="P575" s="51">
        <f t="shared" si="16"/>
        <v>1.5581538461538462</v>
      </c>
      <c r="Q575" s="50">
        <f t="shared" si="17"/>
        <v>24.026843076922756</v>
      </c>
      <c r="R575" s="39" t="s">
        <v>54</v>
      </c>
    </row>
    <row r="576" spans="1:18" x14ac:dyDescent="0.35">
      <c r="A576" s="54">
        <v>1230087</v>
      </c>
      <c r="B576" s="54">
        <v>104456</v>
      </c>
      <c r="C576" s="54" t="s">
        <v>303</v>
      </c>
      <c r="D576" s="51">
        <v>38935.159999999429</v>
      </c>
      <c r="E576" s="52">
        <v>0.18635744816733382</v>
      </c>
      <c r="F576" s="51">
        <v>38935.159999999429</v>
      </c>
      <c r="G576" s="52">
        <v>0.18635744816733382</v>
      </c>
      <c r="H576" s="53">
        <v>2639</v>
      </c>
      <c r="I576" s="52">
        <v>9.4112769485903816E-2</v>
      </c>
      <c r="J576" s="53">
        <v>2639</v>
      </c>
      <c r="K576" s="52">
        <v>9.4112769485903816E-2</v>
      </c>
      <c r="L576" s="53">
        <v>2176</v>
      </c>
      <c r="M576" s="52">
        <v>7.3507646768623577E-2</v>
      </c>
      <c r="N576" s="53">
        <v>2176</v>
      </c>
      <c r="O576" s="52">
        <v>7.3507646768623577E-2</v>
      </c>
      <c r="P576" s="51">
        <f t="shared" si="16"/>
        <v>1.2127757352941178</v>
      </c>
      <c r="Q576" s="50">
        <f t="shared" si="17"/>
        <v>17.89299632352915</v>
      </c>
      <c r="R576" s="39" t="s">
        <v>51</v>
      </c>
    </row>
    <row r="577" spans="1:18" x14ac:dyDescent="0.35">
      <c r="A577" s="54">
        <v>1240440</v>
      </c>
      <c r="B577" s="54">
        <v>108282</v>
      </c>
      <c r="C577" s="54" t="s">
        <v>302</v>
      </c>
      <c r="D577" s="51">
        <v>38808.329999999441</v>
      </c>
      <c r="E577" s="52"/>
      <c r="F577" s="51"/>
      <c r="G577" s="52"/>
      <c r="H577" s="53">
        <v>2431</v>
      </c>
      <c r="I577" s="52" t="s">
        <v>52</v>
      </c>
      <c r="J577" s="53"/>
      <c r="K577" s="52"/>
      <c r="L577" s="53">
        <v>1654</v>
      </c>
      <c r="M577" s="52" t="s">
        <v>52</v>
      </c>
      <c r="N577" s="53"/>
      <c r="O577" s="52"/>
      <c r="P577" s="51">
        <f t="shared" si="16"/>
        <v>1.4697702539298669</v>
      </c>
      <c r="Q577" s="50">
        <f t="shared" si="17"/>
        <v>23.463319226118163</v>
      </c>
      <c r="R577" s="39" t="s">
        <v>51</v>
      </c>
    </row>
    <row r="578" spans="1:18" x14ac:dyDescent="0.35">
      <c r="A578" s="54">
        <v>1240030</v>
      </c>
      <c r="B578" s="54">
        <v>100790</v>
      </c>
      <c r="C578" s="54" t="s">
        <v>301</v>
      </c>
      <c r="D578" s="51">
        <v>38647.839999999429</v>
      </c>
      <c r="E578" s="52">
        <v>0.14117020035815447</v>
      </c>
      <c r="F578" s="51">
        <v>38647.839999999429</v>
      </c>
      <c r="G578" s="52">
        <v>0.14117020035815447</v>
      </c>
      <c r="H578" s="53">
        <v>2589</v>
      </c>
      <c r="I578" s="52">
        <v>8.570315543435918E-3</v>
      </c>
      <c r="J578" s="53">
        <v>2589</v>
      </c>
      <c r="K578" s="52">
        <v>8.570315543435918E-3</v>
      </c>
      <c r="L578" s="53">
        <v>1787</v>
      </c>
      <c r="M578" s="52">
        <v>1.1318619128466326E-2</v>
      </c>
      <c r="N578" s="53">
        <v>1787</v>
      </c>
      <c r="O578" s="52">
        <v>1.1318619128466326E-2</v>
      </c>
      <c r="P578" s="51">
        <f t="shared" si="16"/>
        <v>1.4487968662562956</v>
      </c>
      <c r="Q578" s="50">
        <f t="shared" si="17"/>
        <v>21.627218802461908</v>
      </c>
      <c r="R578" s="39" t="s">
        <v>51</v>
      </c>
    </row>
    <row r="579" spans="1:18" x14ac:dyDescent="0.35">
      <c r="A579" s="54">
        <v>1250032</v>
      </c>
      <c r="B579" s="54">
        <v>106922</v>
      </c>
      <c r="C579" s="54" t="s">
        <v>300</v>
      </c>
      <c r="D579" s="51">
        <v>38551.559999999467</v>
      </c>
      <c r="E579" s="52">
        <v>-0.14151492545623232</v>
      </c>
      <c r="F579" s="51">
        <v>38551.559999999467</v>
      </c>
      <c r="G579" s="52">
        <v>-0.14151492545623232</v>
      </c>
      <c r="H579" s="53">
        <v>2239</v>
      </c>
      <c r="I579" s="52">
        <v>-0.16610800744878956</v>
      </c>
      <c r="J579" s="53">
        <v>2239</v>
      </c>
      <c r="K579" s="52">
        <v>-0.16610800744878956</v>
      </c>
      <c r="L579" s="53">
        <v>1541</v>
      </c>
      <c r="M579" s="52">
        <v>-0.16657652785289345</v>
      </c>
      <c r="N579" s="53">
        <v>1541</v>
      </c>
      <c r="O579" s="52">
        <v>-0.16657652785289345</v>
      </c>
      <c r="P579" s="51">
        <f t="shared" si="16"/>
        <v>1.4529526281635301</v>
      </c>
      <c r="Q579" s="50">
        <f t="shared" si="17"/>
        <v>25.017235561323471</v>
      </c>
      <c r="R579" s="39" t="s">
        <v>51</v>
      </c>
    </row>
    <row r="580" spans="1:18" x14ac:dyDescent="0.35">
      <c r="A580" s="54">
        <v>1190029</v>
      </c>
      <c r="B580" s="54">
        <v>106996</v>
      </c>
      <c r="C580" s="54" t="s">
        <v>299</v>
      </c>
      <c r="D580" s="51">
        <v>38463.589999999575</v>
      </c>
      <c r="E580" s="52">
        <v>0.15509224709939493</v>
      </c>
      <c r="F580" s="51">
        <v>38463.589999999575</v>
      </c>
      <c r="G580" s="52">
        <v>0.15509224709939493</v>
      </c>
      <c r="H580" s="53">
        <v>2024</v>
      </c>
      <c r="I580" s="52">
        <v>4.9248315189217212E-2</v>
      </c>
      <c r="J580" s="53">
        <v>2024</v>
      </c>
      <c r="K580" s="52">
        <v>4.9248315189217212E-2</v>
      </c>
      <c r="L580" s="53">
        <v>1306</v>
      </c>
      <c r="M580" s="52">
        <v>-4.4623262618873442E-2</v>
      </c>
      <c r="N580" s="53">
        <v>1306</v>
      </c>
      <c r="O580" s="52">
        <v>-4.4623262618873442E-2</v>
      </c>
      <c r="P580" s="51">
        <f t="shared" si="16"/>
        <v>1.5497702909647779</v>
      </c>
      <c r="Q580" s="50">
        <f t="shared" si="17"/>
        <v>29.451447166921572</v>
      </c>
      <c r="R580" s="39" t="s">
        <v>54</v>
      </c>
    </row>
    <row r="581" spans="1:18" x14ac:dyDescent="0.35">
      <c r="A581" s="54">
        <v>1170009</v>
      </c>
      <c r="B581" s="54">
        <v>104904</v>
      </c>
      <c r="C581" s="54" t="s">
        <v>298</v>
      </c>
      <c r="D581" s="51">
        <v>38057.649999999921</v>
      </c>
      <c r="E581" s="52">
        <v>-6.3904168958266741E-2</v>
      </c>
      <c r="F581" s="51">
        <v>38057.649999999921</v>
      </c>
      <c r="G581" s="52">
        <v>-6.3904168958266741E-2</v>
      </c>
      <c r="H581" s="53">
        <v>1852</v>
      </c>
      <c r="I581" s="52">
        <v>-0.11217641418983701</v>
      </c>
      <c r="J581" s="53">
        <v>1852</v>
      </c>
      <c r="K581" s="52">
        <v>-0.11217641418983701</v>
      </c>
      <c r="L581" s="53">
        <v>1059</v>
      </c>
      <c r="M581" s="52">
        <v>-0.14181523500810372</v>
      </c>
      <c r="N581" s="53">
        <v>1059</v>
      </c>
      <c r="O581" s="52">
        <v>-0.14181523500810372</v>
      </c>
      <c r="P581" s="51">
        <f t="shared" ref="P581:P644" si="18">H581/L581</f>
        <v>1.748819641170916</v>
      </c>
      <c r="Q581" s="50">
        <f t="shared" ref="Q581:Q644" si="19">D581/L581</f>
        <v>35.937346553352143</v>
      </c>
      <c r="R581" s="39" t="s">
        <v>54</v>
      </c>
    </row>
    <row r="582" spans="1:18" x14ac:dyDescent="0.35">
      <c r="A582" s="54">
        <v>1250051</v>
      </c>
      <c r="B582" s="54">
        <v>107837</v>
      </c>
      <c r="C582" s="54" t="s">
        <v>297</v>
      </c>
      <c r="D582" s="51">
        <v>38025.05999999959</v>
      </c>
      <c r="E582" s="52"/>
      <c r="F582" s="51"/>
      <c r="G582" s="52"/>
      <c r="H582" s="53">
        <v>1962</v>
      </c>
      <c r="I582" s="52" t="s">
        <v>52</v>
      </c>
      <c r="J582" s="53"/>
      <c r="K582" s="52"/>
      <c r="L582" s="53">
        <v>1266</v>
      </c>
      <c r="M582" s="52" t="s">
        <v>52</v>
      </c>
      <c r="N582" s="53"/>
      <c r="O582" s="52"/>
      <c r="P582" s="51">
        <f t="shared" si="18"/>
        <v>1.5497630331753554</v>
      </c>
      <c r="Q582" s="50">
        <f t="shared" si="19"/>
        <v>30.035592417061288</v>
      </c>
      <c r="R582" s="39" t="s">
        <v>54</v>
      </c>
    </row>
    <row r="583" spans="1:18" x14ac:dyDescent="0.35">
      <c r="A583" s="54">
        <v>1160029</v>
      </c>
      <c r="B583" s="54">
        <v>107174</v>
      </c>
      <c r="C583" s="54" t="s">
        <v>296</v>
      </c>
      <c r="D583" s="51">
        <v>38019.639999999657</v>
      </c>
      <c r="E583" s="52">
        <v>0.21372486173875918</v>
      </c>
      <c r="F583" s="51">
        <v>38019.639999999657</v>
      </c>
      <c r="G583" s="52">
        <v>0.21372486173875918</v>
      </c>
      <c r="H583" s="53">
        <v>2231</v>
      </c>
      <c r="I583" s="52">
        <v>0.13768485466598673</v>
      </c>
      <c r="J583" s="53">
        <v>2231</v>
      </c>
      <c r="K583" s="52">
        <v>0.13768485466598673</v>
      </c>
      <c r="L583" s="53">
        <v>1667</v>
      </c>
      <c r="M583" s="52">
        <v>0.17809187279151945</v>
      </c>
      <c r="N583" s="53">
        <v>1667</v>
      </c>
      <c r="O583" s="52">
        <v>0.17809187279151945</v>
      </c>
      <c r="P583" s="51">
        <f t="shared" si="18"/>
        <v>1.3383323335332933</v>
      </c>
      <c r="Q583" s="50">
        <f t="shared" si="19"/>
        <v>22.807222555488696</v>
      </c>
      <c r="R583" s="39" t="s">
        <v>51</v>
      </c>
    </row>
    <row r="584" spans="1:18" x14ac:dyDescent="0.35">
      <c r="A584" s="54">
        <v>1200016</v>
      </c>
      <c r="B584" s="54">
        <v>105320</v>
      </c>
      <c r="C584" s="54" t="s">
        <v>295</v>
      </c>
      <c r="D584" s="51">
        <v>37916.499999999491</v>
      </c>
      <c r="E584" s="52">
        <v>5.7285219812644048E-2</v>
      </c>
      <c r="F584" s="51">
        <v>37916.499999999491</v>
      </c>
      <c r="G584" s="52">
        <v>5.7285219812644048E-2</v>
      </c>
      <c r="H584" s="53">
        <v>2497</v>
      </c>
      <c r="I584" s="52">
        <v>-5.1291793313069906E-2</v>
      </c>
      <c r="J584" s="53">
        <v>2497</v>
      </c>
      <c r="K584" s="52">
        <v>-5.1291793313069906E-2</v>
      </c>
      <c r="L584" s="53">
        <v>1780</v>
      </c>
      <c r="M584" s="52">
        <v>-2.6790595954073265E-2</v>
      </c>
      <c r="N584" s="53">
        <v>1780</v>
      </c>
      <c r="O584" s="52">
        <v>-2.6790595954073265E-2</v>
      </c>
      <c r="P584" s="51">
        <f t="shared" si="18"/>
        <v>1.4028089887640449</v>
      </c>
      <c r="Q584" s="50">
        <f t="shared" si="19"/>
        <v>21.301404494381735</v>
      </c>
      <c r="R584" s="39" t="s">
        <v>51</v>
      </c>
    </row>
    <row r="585" spans="1:18" x14ac:dyDescent="0.35">
      <c r="A585" s="54">
        <v>1240096</v>
      </c>
      <c r="B585" s="54">
        <v>100651</v>
      </c>
      <c r="C585" s="54" t="s">
        <v>294</v>
      </c>
      <c r="D585" s="51">
        <v>37879.039999999426</v>
      </c>
      <c r="E585" s="52">
        <v>7.3678368489054499E-2</v>
      </c>
      <c r="F585" s="51">
        <v>37879.039999999426</v>
      </c>
      <c r="G585" s="52">
        <v>7.3678368489054499E-2</v>
      </c>
      <c r="H585" s="53">
        <v>2577</v>
      </c>
      <c r="I585" s="52">
        <v>-4.9778761061946904E-2</v>
      </c>
      <c r="J585" s="53">
        <v>2577</v>
      </c>
      <c r="K585" s="52">
        <v>-4.9778761061946904E-2</v>
      </c>
      <c r="L585" s="53">
        <v>1850</v>
      </c>
      <c r="M585" s="52">
        <v>-9.4468918257464507E-2</v>
      </c>
      <c r="N585" s="53">
        <v>1850</v>
      </c>
      <c r="O585" s="52">
        <v>-9.4468918257464507E-2</v>
      </c>
      <c r="P585" s="51">
        <f t="shared" si="18"/>
        <v>1.392972972972973</v>
      </c>
      <c r="Q585" s="50">
        <f t="shared" si="19"/>
        <v>20.475156756756448</v>
      </c>
      <c r="R585" s="39" t="s">
        <v>51</v>
      </c>
    </row>
    <row r="586" spans="1:18" x14ac:dyDescent="0.35">
      <c r="A586" s="54">
        <v>1160031</v>
      </c>
      <c r="B586" s="54">
        <v>107320</v>
      </c>
      <c r="C586" s="54" t="s">
        <v>293</v>
      </c>
      <c r="D586" s="51">
        <v>37164.829999999514</v>
      </c>
      <c r="E586" s="52">
        <v>0.28952580347209617</v>
      </c>
      <c r="F586" s="51">
        <v>26812.639999999701</v>
      </c>
      <c r="G586" s="52">
        <v>-6.9669062411744351E-2</v>
      </c>
      <c r="H586" s="53">
        <v>2375.9998999999998</v>
      </c>
      <c r="I586" s="52">
        <v>0.16699405697445963</v>
      </c>
      <c r="J586" s="53">
        <v>1706</v>
      </c>
      <c r="K586" s="52">
        <v>-0.16208251473477406</v>
      </c>
      <c r="L586" s="53">
        <v>1718</v>
      </c>
      <c r="M586" s="52">
        <v>8.2545683679899187E-2</v>
      </c>
      <c r="N586" s="53">
        <v>1245</v>
      </c>
      <c r="O586" s="52">
        <v>-0.21550094517958412</v>
      </c>
      <c r="P586" s="51">
        <f t="shared" si="18"/>
        <v>1.3830034342258439</v>
      </c>
      <c r="Q586" s="50">
        <f t="shared" si="19"/>
        <v>21.632613504074222</v>
      </c>
      <c r="R586" s="39" t="s">
        <v>51</v>
      </c>
    </row>
    <row r="587" spans="1:18" x14ac:dyDescent="0.35">
      <c r="A587" s="54">
        <v>1160025</v>
      </c>
      <c r="B587" s="54">
        <v>106742</v>
      </c>
      <c r="C587" s="54" t="s">
        <v>292</v>
      </c>
      <c r="D587" s="51">
        <v>37054.859999999549</v>
      </c>
      <c r="E587" s="52">
        <v>-0.65692212570392039</v>
      </c>
      <c r="F587" s="51">
        <v>37054.859999999549</v>
      </c>
      <c r="G587" s="52">
        <v>-0.65692212570392039</v>
      </c>
      <c r="H587" s="53">
        <v>2198</v>
      </c>
      <c r="I587" s="52">
        <v>-0.69682758620689655</v>
      </c>
      <c r="J587" s="53">
        <v>2198</v>
      </c>
      <c r="K587" s="52">
        <v>-0.69682758620689655</v>
      </c>
      <c r="L587" s="53">
        <v>1612</v>
      </c>
      <c r="M587" s="52">
        <v>-0.67414594703860931</v>
      </c>
      <c r="N587" s="53">
        <v>1612</v>
      </c>
      <c r="O587" s="52">
        <v>-0.67414594703860931</v>
      </c>
      <c r="P587" s="51">
        <f t="shared" si="18"/>
        <v>1.3635235732009925</v>
      </c>
      <c r="Q587" s="50">
        <f t="shared" si="19"/>
        <v>22.986885856079127</v>
      </c>
      <c r="R587" s="39" t="s">
        <v>51</v>
      </c>
    </row>
    <row r="588" spans="1:18" x14ac:dyDescent="0.35">
      <c r="A588" s="54">
        <v>1240331</v>
      </c>
      <c r="B588" s="54">
        <v>105735</v>
      </c>
      <c r="C588" s="54" t="s">
        <v>291</v>
      </c>
      <c r="D588" s="51">
        <v>37050.789999999528</v>
      </c>
      <c r="E588" s="52">
        <v>-8.3507619834706934E-2</v>
      </c>
      <c r="F588" s="51">
        <v>37050.789999999528</v>
      </c>
      <c r="G588" s="52">
        <v>-8.3507619834706934E-2</v>
      </c>
      <c r="H588" s="53">
        <v>2371</v>
      </c>
      <c r="I588" s="52">
        <v>-0.17357964447542698</v>
      </c>
      <c r="J588" s="53">
        <v>2371</v>
      </c>
      <c r="K588" s="52">
        <v>-0.17357964447542698</v>
      </c>
      <c r="L588" s="53">
        <v>1657</v>
      </c>
      <c r="M588" s="52">
        <v>-0.16523929471032744</v>
      </c>
      <c r="N588" s="53">
        <v>1657</v>
      </c>
      <c r="O588" s="52">
        <v>-0.16523929471032744</v>
      </c>
      <c r="P588" s="51">
        <f t="shared" si="18"/>
        <v>1.4308992154496076</v>
      </c>
      <c r="Q588" s="50">
        <f t="shared" si="19"/>
        <v>22.360162945081189</v>
      </c>
      <c r="R588" s="39" t="s">
        <v>51</v>
      </c>
    </row>
    <row r="589" spans="1:18" x14ac:dyDescent="0.35">
      <c r="A589" s="54">
        <v>1240403</v>
      </c>
      <c r="B589" s="54">
        <v>107121</v>
      </c>
      <c r="C589" s="54" t="s">
        <v>290</v>
      </c>
      <c r="D589" s="51">
        <v>37035.969999999448</v>
      </c>
      <c r="E589" s="52">
        <v>0.52622935822158323</v>
      </c>
      <c r="F589" s="51">
        <v>37035.969999999448</v>
      </c>
      <c r="G589" s="52">
        <v>0.52622935822158323</v>
      </c>
      <c r="H589" s="53">
        <v>2488</v>
      </c>
      <c r="I589" s="52">
        <v>0.45838218053927315</v>
      </c>
      <c r="J589" s="53">
        <v>2488</v>
      </c>
      <c r="K589" s="52">
        <v>0.45838218053927315</v>
      </c>
      <c r="L589" s="53">
        <v>1820</v>
      </c>
      <c r="M589" s="52">
        <v>0.46537842190016104</v>
      </c>
      <c r="N589" s="53">
        <v>1820</v>
      </c>
      <c r="O589" s="52">
        <v>0.46537842190016104</v>
      </c>
      <c r="P589" s="51">
        <f t="shared" si="18"/>
        <v>1.3670329670329671</v>
      </c>
      <c r="Q589" s="50">
        <f t="shared" si="19"/>
        <v>20.349434065933764</v>
      </c>
      <c r="R589" s="39" t="s">
        <v>51</v>
      </c>
    </row>
    <row r="590" spans="1:18" x14ac:dyDescent="0.35">
      <c r="A590" s="54">
        <v>1240356</v>
      </c>
      <c r="B590" s="54">
        <v>106610</v>
      </c>
      <c r="C590" s="54" t="s">
        <v>289</v>
      </c>
      <c r="D590" s="51">
        <v>36690.819999999527</v>
      </c>
      <c r="E590" s="52">
        <v>-0.100518765249965</v>
      </c>
      <c r="F590" s="51">
        <v>36690.819999999527</v>
      </c>
      <c r="G590" s="52">
        <v>-0.100518765249965</v>
      </c>
      <c r="H590" s="53">
        <v>2382</v>
      </c>
      <c r="I590" s="52">
        <v>-0.16185784658691063</v>
      </c>
      <c r="J590" s="53">
        <v>2382</v>
      </c>
      <c r="K590" s="52">
        <v>-0.16185784658691063</v>
      </c>
      <c r="L590" s="53">
        <v>1669</v>
      </c>
      <c r="M590" s="52">
        <v>-0.12617801047120419</v>
      </c>
      <c r="N590" s="53">
        <v>1669</v>
      </c>
      <c r="O590" s="52">
        <v>-0.12617801047120419</v>
      </c>
      <c r="P590" s="51">
        <f t="shared" si="18"/>
        <v>1.427201917315758</v>
      </c>
      <c r="Q590" s="50">
        <f t="shared" si="19"/>
        <v>21.983714799280722</v>
      </c>
      <c r="R590" s="39" t="s">
        <v>51</v>
      </c>
    </row>
    <row r="591" spans="1:18" x14ac:dyDescent="0.35">
      <c r="A591" s="54">
        <v>1230111</v>
      </c>
      <c r="B591" s="54">
        <v>106750</v>
      </c>
      <c r="C591" s="54" t="s">
        <v>288</v>
      </c>
      <c r="D591" s="51">
        <v>36669.229999999443</v>
      </c>
      <c r="E591" s="52">
        <v>3.0614705581448062E-2</v>
      </c>
      <c r="F591" s="51">
        <v>36669.229999999443</v>
      </c>
      <c r="G591" s="52">
        <v>3.0614705581448062E-2</v>
      </c>
      <c r="H591" s="53">
        <v>2527</v>
      </c>
      <c r="I591" s="52">
        <v>-4.5334340763128068E-2</v>
      </c>
      <c r="J591" s="53">
        <v>2527</v>
      </c>
      <c r="K591" s="52">
        <v>-4.5334340763128068E-2</v>
      </c>
      <c r="L591" s="53">
        <v>1924</v>
      </c>
      <c r="M591" s="52">
        <v>-1.0384215991692627E-3</v>
      </c>
      <c r="N591" s="53">
        <v>1924</v>
      </c>
      <c r="O591" s="52">
        <v>-1.0384215991692627E-3</v>
      </c>
      <c r="P591" s="51">
        <f t="shared" si="18"/>
        <v>1.3134095634095635</v>
      </c>
      <c r="Q591" s="50">
        <f t="shared" si="19"/>
        <v>19.058851351351063</v>
      </c>
      <c r="R591" s="39" t="s">
        <v>51</v>
      </c>
    </row>
    <row r="592" spans="1:18" x14ac:dyDescent="0.35">
      <c r="A592" s="54">
        <v>1260021</v>
      </c>
      <c r="B592" s="54">
        <v>104775</v>
      </c>
      <c r="C592" s="54" t="s">
        <v>287</v>
      </c>
      <c r="D592" s="51">
        <v>36523.23999999946</v>
      </c>
      <c r="E592" s="52">
        <v>4.6092737690015581E-2</v>
      </c>
      <c r="F592" s="51">
        <v>36523.23999999946</v>
      </c>
      <c r="G592" s="52">
        <v>4.6092737690015581E-2</v>
      </c>
      <c r="H592" s="53">
        <v>2452</v>
      </c>
      <c r="I592" s="52">
        <v>-4.0617384240454911E-3</v>
      </c>
      <c r="J592" s="53">
        <v>2452</v>
      </c>
      <c r="K592" s="52">
        <v>-4.0617384240454911E-3</v>
      </c>
      <c r="L592" s="53">
        <v>1832</v>
      </c>
      <c r="M592" s="52">
        <v>3.5613340870548335E-2</v>
      </c>
      <c r="N592" s="53">
        <v>1832</v>
      </c>
      <c r="O592" s="52">
        <v>3.5613340870548335E-2</v>
      </c>
      <c r="P592" s="51">
        <f t="shared" si="18"/>
        <v>1.3384279475982532</v>
      </c>
      <c r="Q592" s="50">
        <f t="shared" si="19"/>
        <v>19.936266375545557</v>
      </c>
      <c r="R592" s="39" t="s">
        <v>51</v>
      </c>
    </row>
    <row r="593" spans="1:18" x14ac:dyDescent="0.35">
      <c r="A593" s="54">
        <v>1190017</v>
      </c>
      <c r="B593" s="54">
        <v>107727</v>
      </c>
      <c r="C593" s="54" t="s">
        <v>286</v>
      </c>
      <c r="D593" s="51">
        <v>36491.729999999567</v>
      </c>
      <c r="E593" s="52"/>
      <c r="F593" s="51">
        <v>36491.729999999567</v>
      </c>
      <c r="G593" s="52"/>
      <c r="H593" s="53">
        <v>2106</v>
      </c>
      <c r="I593" s="52" t="s">
        <v>52</v>
      </c>
      <c r="J593" s="53">
        <v>2106</v>
      </c>
      <c r="K593" s="52"/>
      <c r="L593" s="53">
        <v>1507</v>
      </c>
      <c r="M593" s="52" t="s">
        <v>52</v>
      </c>
      <c r="N593" s="53">
        <v>1507</v>
      </c>
      <c r="O593" s="52"/>
      <c r="P593" s="51">
        <f t="shared" si="18"/>
        <v>1.3974784339747843</v>
      </c>
      <c r="Q593" s="50">
        <f t="shared" si="19"/>
        <v>24.214817518247887</v>
      </c>
      <c r="R593" s="39" t="s">
        <v>51</v>
      </c>
    </row>
    <row r="594" spans="1:18" x14ac:dyDescent="0.35">
      <c r="A594" s="54">
        <v>1240383</v>
      </c>
      <c r="B594" s="54">
        <v>106917</v>
      </c>
      <c r="C594" s="54" t="s">
        <v>285</v>
      </c>
      <c r="D594" s="51">
        <v>36396.159999999523</v>
      </c>
      <c r="E594" s="52">
        <v>0.33566291650747743</v>
      </c>
      <c r="F594" s="51">
        <v>36396.159999999523</v>
      </c>
      <c r="G594" s="52">
        <v>0.33566291650747743</v>
      </c>
      <c r="H594" s="53">
        <v>2327</v>
      </c>
      <c r="I594" s="52">
        <v>0.17525252525252524</v>
      </c>
      <c r="J594" s="53">
        <v>2327</v>
      </c>
      <c r="K594" s="52">
        <v>0.17525252525252524</v>
      </c>
      <c r="L594" s="53">
        <v>1825</v>
      </c>
      <c r="M594" s="52">
        <v>0.18429591174561974</v>
      </c>
      <c r="N594" s="53">
        <v>1825</v>
      </c>
      <c r="O594" s="52">
        <v>0.18429591174561974</v>
      </c>
      <c r="P594" s="51">
        <f t="shared" si="18"/>
        <v>1.2750684931506848</v>
      </c>
      <c r="Q594" s="50">
        <f t="shared" si="19"/>
        <v>19.943101369862752</v>
      </c>
      <c r="R594" s="39" t="s">
        <v>51</v>
      </c>
    </row>
    <row r="595" spans="1:18" x14ac:dyDescent="0.35">
      <c r="A595" s="54">
        <v>1190012</v>
      </c>
      <c r="B595" s="54">
        <v>106828</v>
      </c>
      <c r="C595" s="54" t="s">
        <v>284</v>
      </c>
      <c r="D595" s="51">
        <v>36275.199999999575</v>
      </c>
      <c r="E595" s="52">
        <v>-1.8811929125483847E-2</v>
      </c>
      <c r="F595" s="51">
        <v>36275.199999999575</v>
      </c>
      <c r="G595" s="52">
        <v>-1.8811929125483847E-2</v>
      </c>
      <c r="H595" s="53">
        <v>2072</v>
      </c>
      <c r="I595" s="52">
        <v>-7.9520213238560636E-2</v>
      </c>
      <c r="J595" s="53">
        <v>2072</v>
      </c>
      <c r="K595" s="52">
        <v>-7.9520213238560636E-2</v>
      </c>
      <c r="L595" s="53">
        <v>1456</v>
      </c>
      <c r="M595" s="52">
        <v>-2.8037383177570093E-2</v>
      </c>
      <c r="N595" s="53">
        <v>1456</v>
      </c>
      <c r="O595" s="52">
        <v>-2.8037383177570093E-2</v>
      </c>
      <c r="P595" s="51">
        <f t="shared" si="18"/>
        <v>1.4230769230769231</v>
      </c>
      <c r="Q595" s="50">
        <f t="shared" si="19"/>
        <v>24.914285714285423</v>
      </c>
      <c r="R595" s="39" t="s">
        <v>51</v>
      </c>
    </row>
    <row r="596" spans="1:18" x14ac:dyDescent="0.35">
      <c r="A596" s="54">
        <v>1240309</v>
      </c>
      <c r="B596" s="54">
        <v>105483</v>
      </c>
      <c r="C596" s="54" t="s">
        <v>283</v>
      </c>
      <c r="D596" s="51">
        <v>36269.769999999524</v>
      </c>
      <c r="E596" s="52">
        <v>-7.7139987628596033E-3</v>
      </c>
      <c r="F596" s="51">
        <v>36269.769999999524</v>
      </c>
      <c r="G596" s="52">
        <v>-7.7139987628596033E-3</v>
      </c>
      <c r="H596" s="53">
        <v>2251</v>
      </c>
      <c r="I596" s="52">
        <v>-3.1827956989247314E-2</v>
      </c>
      <c r="J596" s="53">
        <v>2251</v>
      </c>
      <c r="K596" s="52">
        <v>-3.1827956989247314E-2</v>
      </c>
      <c r="L596" s="53">
        <v>1409</v>
      </c>
      <c r="M596" s="52">
        <v>-0.10197578075207138</v>
      </c>
      <c r="N596" s="53">
        <v>1409</v>
      </c>
      <c r="O596" s="52">
        <v>-0.10197578075207138</v>
      </c>
      <c r="P596" s="51">
        <f t="shared" si="18"/>
        <v>1.5975869410929737</v>
      </c>
      <c r="Q596" s="50">
        <f t="shared" si="19"/>
        <v>25.741497515968433</v>
      </c>
      <c r="R596" s="39" t="s">
        <v>54</v>
      </c>
    </row>
    <row r="597" spans="1:18" x14ac:dyDescent="0.35">
      <c r="A597" s="54">
        <v>1240111</v>
      </c>
      <c r="B597" s="54">
        <v>108465</v>
      </c>
      <c r="C597" s="54" t="s">
        <v>282</v>
      </c>
      <c r="D597" s="51">
        <v>36227.489999999481</v>
      </c>
      <c r="E597" s="52"/>
      <c r="F597" s="51">
        <v>36227.489999999481</v>
      </c>
      <c r="G597" s="52"/>
      <c r="H597" s="53">
        <v>2288</v>
      </c>
      <c r="I597" s="52" t="s">
        <v>52</v>
      </c>
      <c r="J597" s="53">
        <v>2288</v>
      </c>
      <c r="K597" s="52"/>
      <c r="L597" s="53">
        <v>1213</v>
      </c>
      <c r="M597" s="52" t="s">
        <v>52</v>
      </c>
      <c r="N597" s="53">
        <v>1213</v>
      </c>
      <c r="O597" s="52"/>
      <c r="P597" s="51">
        <f t="shared" si="18"/>
        <v>1.8862324814509481</v>
      </c>
      <c r="Q597" s="50">
        <f t="shared" si="19"/>
        <v>29.866026380873439</v>
      </c>
      <c r="R597" s="39" t="s">
        <v>54</v>
      </c>
    </row>
    <row r="598" spans="1:18" x14ac:dyDescent="0.35">
      <c r="A598" s="54">
        <v>1160017</v>
      </c>
      <c r="B598" s="54">
        <v>104892</v>
      </c>
      <c r="C598" s="54" t="s">
        <v>281</v>
      </c>
      <c r="D598" s="51">
        <v>36019.139999999468</v>
      </c>
      <c r="E598" s="52">
        <v>-0.15681171708555919</v>
      </c>
      <c r="F598" s="51">
        <v>36019.139999999468</v>
      </c>
      <c r="G598" s="52">
        <v>-0.15681171708555919</v>
      </c>
      <c r="H598" s="53">
        <v>2216</v>
      </c>
      <c r="I598" s="52">
        <v>-0.20316432937792162</v>
      </c>
      <c r="J598" s="53">
        <v>2216</v>
      </c>
      <c r="K598" s="52">
        <v>-0.20316432937792162</v>
      </c>
      <c r="L598" s="53">
        <v>1455</v>
      </c>
      <c r="M598" s="52">
        <v>-0.19790518191841236</v>
      </c>
      <c r="N598" s="53">
        <v>1455</v>
      </c>
      <c r="O598" s="52">
        <v>-0.19790518191841236</v>
      </c>
      <c r="P598" s="51">
        <f t="shared" si="18"/>
        <v>1.5230240549828178</v>
      </c>
      <c r="Q598" s="50">
        <f t="shared" si="19"/>
        <v>24.755422680412007</v>
      </c>
      <c r="R598" s="39" t="s">
        <v>54</v>
      </c>
    </row>
    <row r="599" spans="1:18" x14ac:dyDescent="0.35">
      <c r="A599" s="54">
        <v>1240233</v>
      </c>
      <c r="B599" s="54">
        <v>104591</v>
      </c>
      <c r="C599" s="54" t="s">
        <v>280</v>
      </c>
      <c r="D599" s="51">
        <v>35684.759999999653</v>
      </c>
      <c r="E599" s="52">
        <v>-0.17961901052904386</v>
      </c>
      <c r="F599" s="51">
        <v>35684.759999999653</v>
      </c>
      <c r="G599" s="52">
        <v>-0.17961901052904386</v>
      </c>
      <c r="H599" s="53">
        <v>2441</v>
      </c>
      <c r="I599" s="52">
        <v>-0.2146074646074646</v>
      </c>
      <c r="J599" s="53">
        <v>2441</v>
      </c>
      <c r="K599" s="52">
        <v>-0.2146074646074646</v>
      </c>
      <c r="L599" s="53">
        <v>1651</v>
      </c>
      <c r="M599" s="52">
        <v>-0.19893255701115964</v>
      </c>
      <c r="N599" s="53">
        <v>1651</v>
      </c>
      <c r="O599" s="52">
        <v>-0.19893255701115964</v>
      </c>
      <c r="P599" s="51">
        <f t="shared" si="18"/>
        <v>1.4784978800726831</v>
      </c>
      <c r="Q599" s="50">
        <f t="shared" si="19"/>
        <v>21.614027861901668</v>
      </c>
      <c r="R599" s="39" t="s">
        <v>51</v>
      </c>
    </row>
    <row r="600" spans="1:18" x14ac:dyDescent="0.35">
      <c r="A600" s="54">
        <v>1230117</v>
      </c>
      <c r="B600" s="54">
        <v>106869</v>
      </c>
      <c r="C600" s="54" t="s">
        <v>279</v>
      </c>
      <c r="D600" s="51">
        <v>35472.179999999556</v>
      </c>
      <c r="E600" s="52"/>
      <c r="F600" s="51"/>
      <c r="G600" s="52"/>
      <c r="H600" s="53">
        <v>2113</v>
      </c>
      <c r="I600" s="52" t="s">
        <v>52</v>
      </c>
      <c r="J600" s="53"/>
      <c r="K600" s="52"/>
      <c r="L600" s="53">
        <v>1438</v>
      </c>
      <c r="M600" s="52" t="s">
        <v>52</v>
      </c>
      <c r="N600" s="53"/>
      <c r="O600" s="52"/>
      <c r="P600" s="51">
        <f t="shared" si="18"/>
        <v>1.4694019471488178</v>
      </c>
      <c r="Q600" s="50">
        <f t="shared" si="19"/>
        <v>24.667719054241694</v>
      </c>
      <c r="R600" s="39" t="s">
        <v>51</v>
      </c>
    </row>
    <row r="601" spans="1:18" x14ac:dyDescent="0.35">
      <c r="A601" s="54">
        <v>1200022</v>
      </c>
      <c r="B601" s="54">
        <v>106722</v>
      </c>
      <c r="C601" s="54" t="s">
        <v>278</v>
      </c>
      <c r="D601" s="51">
        <v>35436.299999999566</v>
      </c>
      <c r="E601" s="52">
        <v>-3.2626072029933756E-2</v>
      </c>
      <c r="F601" s="51">
        <v>35436.299999999566</v>
      </c>
      <c r="G601" s="52">
        <v>-3.2626072029933756E-2</v>
      </c>
      <c r="H601" s="53">
        <v>2050</v>
      </c>
      <c r="I601" s="52">
        <v>-4.8543689320388345E-3</v>
      </c>
      <c r="J601" s="53">
        <v>2050</v>
      </c>
      <c r="K601" s="52">
        <v>-4.8543689320388345E-3</v>
      </c>
      <c r="L601" s="53">
        <v>1390</v>
      </c>
      <c r="M601" s="52">
        <v>2.4318349299926309E-2</v>
      </c>
      <c r="N601" s="53">
        <v>1390</v>
      </c>
      <c r="O601" s="52">
        <v>2.4318349299926309E-2</v>
      </c>
      <c r="P601" s="51">
        <f t="shared" si="18"/>
        <v>1.474820143884892</v>
      </c>
      <c r="Q601" s="50">
        <f t="shared" si="19"/>
        <v>25.493741007193933</v>
      </c>
      <c r="R601" s="39" t="s">
        <v>51</v>
      </c>
    </row>
    <row r="602" spans="1:18" x14ac:dyDescent="0.35">
      <c r="A602" s="54">
        <v>1210060</v>
      </c>
      <c r="B602" s="54">
        <v>105484</v>
      </c>
      <c r="C602" s="54" t="s">
        <v>277</v>
      </c>
      <c r="D602" s="51">
        <v>35340.869999999544</v>
      </c>
      <c r="E602" s="52">
        <v>2.6521112626966578E-3</v>
      </c>
      <c r="F602" s="51">
        <v>35340.869999999544</v>
      </c>
      <c r="G602" s="52">
        <v>2.6521112626966578E-3</v>
      </c>
      <c r="H602" s="53">
        <v>2267</v>
      </c>
      <c r="I602" s="52">
        <v>-6.2448304383788254E-2</v>
      </c>
      <c r="J602" s="53">
        <v>2267</v>
      </c>
      <c r="K602" s="52">
        <v>-6.2448304383788254E-2</v>
      </c>
      <c r="L602" s="53">
        <v>1446</v>
      </c>
      <c r="M602" s="52">
        <v>-9.056603773584905E-2</v>
      </c>
      <c r="N602" s="53">
        <v>1446</v>
      </c>
      <c r="O602" s="52">
        <v>-9.056603773584905E-2</v>
      </c>
      <c r="P602" s="51">
        <f t="shared" si="18"/>
        <v>1.5677731673582296</v>
      </c>
      <c r="Q602" s="50">
        <f t="shared" si="19"/>
        <v>24.440435684646989</v>
      </c>
      <c r="R602" s="39" t="s">
        <v>54</v>
      </c>
    </row>
    <row r="603" spans="1:18" x14ac:dyDescent="0.35">
      <c r="A603" s="54">
        <v>1240074</v>
      </c>
      <c r="B603" s="54">
        <v>107349</v>
      </c>
      <c r="C603" s="54" t="s">
        <v>276</v>
      </c>
      <c r="D603" s="51">
        <v>35339.709999999606</v>
      </c>
      <c r="E603" s="52">
        <v>0.11935586147872723</v>
      </c>
      <c r="F603" s="51">
        <v>35339.709999999606</v>
      </c>
      <c r="G603" s="52">
        <v>0.11935586147872723</v>
      </c>
      <c r="H603" s="53">
        <v>2521</v>
      </c>
      <c r="I603" s="52">
        <v>0.11057268722466961</v>
      </c>
      <c r="J603" s="53">
        <v>2521</v>
      </c>
      <c r="K603" s="52">
        <v>0.11057268722466961</v>
      </c>
      <c r="L603" s="53">
        <v>1593</v>
      </c>
      <c r="M603" s="52">
        <v>0.13058907026259758</v>
      </c>
      <c r="N603" s="53">
        <v>1593</v>
      </c>
      <c r="O603" s="52">
        <v>0.13058907026259758</v>
      </c>
      <c r="P603" s="51">
        <f t="shared" si="18"/>
        <v>1.5825486503452606</v>
      </c>
      <c r="Q603" s="50">
        <f t="shared" si="19"/>
        <v>22.184375392341249</v>
      </c>
      <c r="R603" s="39" t="s">
        <v>54</v>
      </c>
    </row>
    <row r="604" spans="1:18" x14ac:dyDescent="0.35">
      <c r="A604" s="54">
        <v>1240262</v>
      </c>
      <c r="B604" s="54">
        <v>104739</v>
      </c>
      <c r="C604" s="54" t="s">
        <v>275</v>
      </c>
      <c r="D604" s="51">
        <v>34847.959999999526</v>
      </c>
      <c r="E604" s="52">
        <v>0.18762993125314764</v>
      </c>
      <c r="F604" s="51">
        <v>34847.959999999526</v>
      </c>
      <c r="G604" s="52">
        <v>0.18762993125314764</v>
      </c>
      <c r="H604" s="53">
        <v>2302</v>
      </c>
      <c r="I604" s="52">
        <v>0.12292682926829268</v>
      </c>
      <c r="J604" s="53">
        <v>2302</v>
      </c>
      <c r="K604" s="52">
        <v>0.12292682926829268</v>
      </c>
      <c r="L604" s="53">
        <v>1644</v>
      </c>
      <c r="M604" s="52">
        <v>0.1191286589516678</v>
      </c>
      <c r="N604" s="53">
        <v>1644</v>
      </c>
      <c r="O604" s="52">
        <v>0.1191286589516678</v>
      </c>
      <c r="P604" s="51">
        <f t="shared" si="18"/>
        <v>1.4002433090024331</v>
      </c>
      <c r="Q604" s="50">
        <f t="shared" si="19"/>
        <v>21.197055961070273</v>
      </c>
      <c r="R604" s="39" t="s">
        <v>51</v>
      </c>
    </row>
    <row r="605" spans="1:18" x14ac:dyDescent="0.35">
      <c r="A605" s="54">
        <v>1230122</v>
      </c>
      <c r="B605" s="54">
        <v>107124</v>
      </c>
      <c r="C605" s="54" t="s">
        <v>274</v>
      </c>
      <c r="D605" s="51">
        <v>34821.099999999569</v>
      </c>
      <c r="E605" s="52">
        <v>0.13307739565733923</v>
      </c>
      <c r="F605" s="51">
        <v>34821.099999999569</v>
      </c>
      <c r="G605" s="52">
        <v>0.13307739565733923</v>
      </c>
      <c r="H605" s="53">
        <v>2300</v>
      </c>
      <c r="I605" s="52">
        <v>9.9426386233269604E-2</v>
      </c>
      <c r="J605" s="53">
        <v>2300</v>
      </c>
      <c r="K605" s="52">
        <v>9.9426386233269604E-2</v>
      </c>
      <c r="L605" s="53">
        <v>1643</v>
      </c>
      <c r="M605" s="52">
        <v>5.3205128205128203E-2</v>
      </c>
      <c r="N605" s="53">
        <v>1643</v>
      </c>
      <c r="O605" s="52">
        <v>5.3205128205128203E-2</v>
      </c>
      <c r="P605" s="51">
        <f t="shared" si="18"/>
        <v>1.399878271454656</v>
      </c>
      <c r="Q605" s="50">
        <f t="shared" si="19"/>
        <v>21.193609251369185</v>
      </c>
      <c r="R605" s="39" t="s">
        <v>51</v>
      </c>
    </row>
    <row r="606" spans="1:18" x14ac:dyDescent="0.35">
      <c r="A606" s="54">
        <v>1240264</v>
      </c>
      <c r="B606" s="54">
        <v>104771</v>
      </c>
      <c r="C606" s="54" t="s">
        <v>273</v>
      </c>
      <c r="D606" s="51">
        <v>34447.429999999556</v>
      </c>
      <c r="E606" s="52">
        <v>-0.20044161198355082</v>
      </c>
      <c r="F606" s="51">
        <v>34447.429999999556</v>
      </c>
      <c r="G606" s="52">
        <v>-0.20044161198355082</v>
      </c>
      <c r="H606" s="53">
        <v>2226</v>
      </c>
      <c r="I606" s="52">
        <v>-0.29108280254777069</v>
      </c>
      <c r="J606" s="53">
        <v>2226</v>
      </c>
      <c r="K606" s="52">
        <v>-0.29108280254777069</v>
      </c>
      <c r="L606" s="53">
        <v>1388</v>
      </c>
      <c r="M606" s="52">
        <v>-0.28527291452111225</v>
      </c>
      <c r="N606" s="53">
        <v>1388</v>
      </c>
      <c r="O606" s="52">
        <v>-0.28527291452111225</v>
      </c>
      <c r="P606" s="51">
        <f t="shared" si="18"/>
        <v>1.6037463976945245</v>
      </c>
      <c r="Q606" s="50">
        <f t="shared" si="19"/>
        <v>24.818033141210055</v>
      </c>
      <c r="R606" s="39" t="s">
        <v>54</v>
      </c>
    </row>
    <row r="607" spans="1:18" x14ac:dyDescent="0.35">
      <c r="A607" s="54">
        <v>1240417</v>
      </c>
      <c r="B607" s="54">
        <v>107364</v>
      </c>
      <c r="C607" s="54" t="s">
        <v>272</v>
      </c>
      <c r="D607" s="51">
        <v>34384.789999999659</v>
      </c>
      <c r="E607" s="52"/>
      <c r="F607" s="51">
        <v>6090.7200000000221</v>
      </c>
      <c r="G607" s="52"/>
      <c r="H607" s="53">
        <v>2133.9900000000002</v>
      </c>
      <c r="I607" s="52" t="s">
        <v>52</v>
      </c>
      <c r="J607" s="53">
        <v>369</v>
      </c>
      <c r="K607" s="52"/>
      <c r="L607" s="53">
        <v>1466</v>
      </c>
      <c r="M607" s="52" t="s">
        <v>52</v>
      </c>
      <c r="N607" s="53">
        <v>247</v>
      </c>
      <c r="O607" s="52"/>
      <c r="P607" s="51">
        <f t="shared" si="18"/>
        <v>1.455654843110505</v>
      </c>
      <c r="Q607" s="50">
        <f t="shared" si="19"/>
        <v>23.45483628922214</v>
      </c>
      <c r="R607" s="39" t="s">
        <v>51</v>
      </c>
    </row>
    <row r="608" spans="1:18" x14ac:dyDescent="0.35">
      <c r="A608" s="54">
        <v>1240014</v>
      </c>
      <c r="B608" s="54">
        <v>100636</v>
      </c>
      <c r="C608" s="54" t="s">
        <v>271</v>
      </c>
      <c r="D608" s="51">
        <v>34360.999999999593</v>
      </c>
      <c r="E608" s="52">
        <v>-0.39388369538144763</v>
      </c>
      <c r="F608" s="51">
        <v>34360.999999999593</v>
      </c>
      <c r="G608" s="52">
        <v>-0.39388369538144763</v>
      </c>
      <c r="H608" s="53">
        <v>2417</v>
      </c>
      <c r="I608" s="52">
        <v>-0.46419862558191088</v>
      </c>
      <c r="J608" s="53">
        <v>2417</v>
      </c>
      <c r="K608" s="52">
        <v>-0.46419862558191088</v>
      </c>
      <c r="L608" s="53">
        <v>1654</v>
      </c>
      <c r="M608" s="52">
        <v>-0.46524409957969609</v>
      </c>
      <c r="N608" s="53">
        <v>1654</v>
      </c>
      <c r="O608" s="52">
        <v>-0.46524409957969609</v>
      </c>
      <c r="P608" s="51">
        <f t="shared" si="18"/>
        <v>1.4613059250302298</v>
      </c>
      <c r="Q608" s="50">
        <f t="shared" si="19"/>
        <v>20.774486094316561</v>
      </c>
      <c r="R608" s="39" t="s">
        <v>51</v>
      </c>
    </row>
    <row r="609" spans="1:18" x14ac:dyDescent="0.35">
      <c r="A609" s="54">
        <v>1230104</v>
      </c>
      <c r="B609" s="54">
        <v>107772</v>
      </c>
      <c r="C609" s="54" t="s">
        <v>270</v>
      </c>
      <c r="D609" s="51">
        <v>34247.119999999573</v>
      </c>
      <c r="E609" s="52"/>
      <c r="F609" s="51">
        <v>34247.119999999573</v>
      </c>
      <c r="G609" s="52"/>
      <c r="H609" s="53">
        <v>2089</v>
      </c>
      <c r="I609" s="52" t="s">
        <v>52</v>
      </c>
      <c r="J609" s="53">
        <v>2089</v>
      </c>
      <c r="K609" s="52"/>
      <c r="L609" s="53">
        <v>1459</v>
      </c>
      <c r="M609" s="52" t="s">
        <v>52</v>
      </c>
      <c r="N609" s="53">
        <v>1459</v>
      </c>
      <c r="O609" s="52"/>
      <c r="P609" s="51">
        <f t="shared" si="18"/>
        <v>1.4318026045236463</v>
      </c>
      <c r="Q609" s="50">
        <f t="shared" si="19"/>
        <v>23.473008910212183</v>
      </c>
      <c r="R609" s="39" t="s">
        <v>51</v>
      </c>
    </row>
    <row r="610" spans="1:18" x14ac:dyDescent="0.35">
      <c r="A610" s="54">
        <v>1240151</v>
      </c>
      <c r="B610" s="54">
        <v>102875</v>
      </c>
      <c r="C610" s="54" t="s">
        <v>269</v>
      </c>
      <c r="D610" s="51">
        <v>34065.679999999578</v>
      </c>
      <c r="E610" s="52">
        <v>-8.2994044762141408E-2</v>
      </c>
      <c r="F610" s="51">
        <v>34065.679999999578</v>
      </c>
      <c r="G610" s="52">
        <v>-8.2994044762141408E-2</v>
      </c>
      <c r="H610" s="53">
        <v>2320</v>
      </c>
      <c r="I610" s="52">
        <v>-0.17701312522170984</v>
      </c>
      <c r="J610" s="53">
        <v>2320</v>
      </c>
      <c r="K610" s="52">
        <v>-0.17701312522170984</v>
      </c>
      <c r="L610" s="53">
        <v>1574</v>
      </c>
      <c r="M610" s="52">
        <v>-0.17375328083989502</v>
      </c>
      <c r="N610" s="53">
        <v>1574</v>
      </c>
      <c r="O610" s="52">
        <v>-0.17375328083989502</v>
      </c>
      <c r="P610" s="51">
        <f t="shared" si="18"/>
        <v>1.4739517153748412</v>
      </c>
      <c r="Q610" s="50">
        <f t="shared" si="19"/>
        <v>21.642744599745601</v>
      </c>
      <c r="R610" s="39" t="s">
        <v>51</v>
      </c>
    </row>
    <row r="611" spans="1:18" x14ac:dyDescent="0.35">
      <c r="A611" s="54">
        <v>1240099</v>
      </c>
      <c r="B611" s="54">
        <v>100653</v>
      </c>
      <c r="C611" s="54" t="s">
        <v>268</v>
      </c>
      <c r="D611" s="51">
        <v>33653.849999999475</v>
      </c>
      <c r="E611" s="52">
        <v>-3.9281881844343905E-2</v>
      </c>
      <c r="F611" s="51">
        <v>33653.849999999475</v>
      </c>
      <c r="G611" s="52">
        <v>-3.9281881844343905E-2</v>
      </c>
      <c r="H611" s="53">
        <v>2396</v>
      </c>
      <c r="I611" s="52">
        <v>-9.1736163760424566E-2</v>
      </c>
      <c r="J611" s="53">
        <v>2396</v>
      </c>
      <c r="K611" s="52">
        <v>-9.1736163760424566E-2</v>
      </c>
      <c r="L611" s="53">
        <v>1753</v>
      </c>
      <c r="M611" s="52">
        <v>-8.6979166666666663E-2</v>
      </c>
      <c r="N611" s="53">
        <v>1753</v>
      </c>
      <c r="O611" s="52">
        <v>-8.6979166666666663E-2</v>
      </c>
      <c r="P611" s="51">
        <f t="shared" si="18"/>
        <v>1.3667997718197376</v>
      </c>
      <c r="Q611" s="50">
        <f t="shared" si="19"/>
        <v>19.197860810039632</v>
      </c>
      <c r="R611" s="39" t="s">
        <v>51</v>
      </c>
    </row>
    <row r="612" spans="1:18" x14ac:dyDescent="0.35">
      <c r="A612" s="54">
        <v>1240399</v>
      </c>
      <c r="B612" s="54">
        <v>107011</v>
      </c>
      <c r="C612" s="54" t="s">
        <v>267</v>
      </c>
      <c r="D612" s="51">
        <v>33126.889999999577</v>
      </c>
      <c r="E612" s="52">
        <v>0.22053663703770654</v>
      </c>
      <c r="F612" s="51">
        <v>33126.889999999577</v>
      </c>
      <c r="G612" s="52">
        <v>0.22053663703770654</v>
      </c>
      <c r="H612" s="53">
        <v>2283</v>
      </c>
      <c r="I612" s="52">
        <v>0.16598569969356486</v>
      </c>
      <c r="J612" s="53">
        <v>2283</v>
      </c>
      <c r="K612" s="52">
        <v>0.16598569969356486</v>
      </c>
      <c r="L612" s="53">
        <v>1464</v>
      </c>
      <c r="M612" s="52">
        <v>0.12183908045977011</v>
      </c>
      <c r="N612" s="53">
        <v>1464</v>
      </c>
      <c r="O612" s="52">
        <v>0.12183908045977011</v>
      </c>
      <c r="P612" s="51">
        <f t="shared" si="18"/>
        <v>1.5594262295081966</v>
      </c>
      <c r="Q612" s="50">
        <f t="shared" si="19"/>
        <v>22.627657103824848</v>
      </c>
      <c r="R612" s="39" t="s">
        <v>54</v>
      </c>
    </row>
    <row r="613" spans="1:18" x14ac:dyDescent="0.35">
      <c r="A613" s="54">
        <v>1240427</v>
      </c>
      <c r="B613" s="54">
        <v>107741</v>
      </c>
      <c r="C613" s="54" t="s">
        <v>266</v>
      </c>
      <c r="D613" s="51">
        <v>33036.179999999636</v>
      </c>
      <c r="E613" s="52"/>
      <c r="F613" s="51"/>
      <c r="G613" s="52"/>
      <c r="H613" s="53">
        <v>2219</v>
      </c>
      <c r="I613" s="52" t="s">
        <v>52</v>
      </c>
      <c r="J613" s="53"/>
      <c r="K613" s="52"/>
      <c r="L613" s="53">
        <v>1547</v>
      </c>
      <c r="M613" s="52" t="s">
        <v>52</v>
      </c>
      <c r="N613" s="53"/>
      <c r="O613" s="52"/>
      <c r="P613" s="51">
        <f t="shared" si="18"/>
        <v>1.4343891402714932</v>
      </c>
      <c r="Q613" s="50">
        <f t="shared" si="19"/>
        <v>21.35499676793771</v>
      </c>
      <c r="R613" s="39" t="s">
        <v>51</v>
      </c>
    </row>
    <row r="614" spans="1:18" x14ac:dyDescent="0.35">
      <c r="A614" s="54">
        <v>1050001</v>
      </c>
      <c r="B614" s="54">
        <v>104738</v>
      </c>
      <c r="C614" s="54" t="s">
        <v>265</v>
      </c>
      <c r="D614" s="51">
        <v>32985.549999999894</v>
      </c>
      <c r="E614" s="52">
        <v>0.13567285730319775</v>
      </c>
      <c r="F614" s="51">
        <v>32985.549999999894</v>
      </c>
      <c r="G614" s="52">
        <v>0.13567285730319775</v>
      </c>
      <c r="H614" s="53">
        <v>1583</v>
      </c>
      <c r="I614" s="52">
        <v>4.8344370860927154E-2</v>
      </c>
      <c r="J614" s="53">
        <v>1583</v>
      </c>
      <c r="K614" s="52">
        <v>4.8344370860927154E-2</v>
      </c>
      <c r="L614" s="53">
        <v>979</v>
      </c>
      <c r="M614" s="52">
        <v>5.155746509129968E-2</v>
      </c>
      <c r="N614" s="53">
        <v>979</v>
      </c>
      <c r="O614" s="52">
        <v>5.155746509129968E-2</v>
      </c>
      <c r="P614" s="51">
        <f t="shared" si="18"/>
        <v>1.616956077630235</v>
      </c>
      <c r="Q614" s="50">
        <f t="shared" si="19"/>
        <v>33.693105209397238</v>
      </c>
      <c r="R614" s="39" t="s">
        <v>54</v>
      </c>
    </row>
    <row r="615" spans="1:18" x14ac:dyDescent="0.35">
      <c r="A615" s="54">
        <v>1270030</v>
      </c>
      <c r="B615" s="54">
        <v>106925</v>
      </c>
      <c r="C615" s="54" t="s">
        <v>264</v>
      </c>
      <c r="D615" s="51">
        <v>32947.77999999962</v>
      </c>
      <c r="E615" s="52">
        <v>-0.25886897810153542</v>
      </c>
      <c r="F615" s="51">
        <v>32947.77999999962</v>
      </c>
      <c r="G615" s="52">
        <v>-0.25886897810153542</v>
      </c>
      <c r="H615" s="53">
        <v>2380</v>
      </c>
      <c r="I615" s="52">
        <v>-0.29103366100685135</v>
      </c>
      <c r="J615" s="53">
        <v>2380</v>
      </c>
      <c r="K615" s="52">
        <v>-0.29103366100685135</v>
      </c>
      <c r="L615" s="53">
        <v>1514</v>
      </c>
      <c r="M615" s="52">
        <v>-0.2987494210282538</v>
      </c>
      <c r="N615" s="53">
        <v>1514</v>
      </c>
      <c r="O615" s="52">
        <v>-0.2987494210282538</v>
      </c>
      <c r="P615" s="51">
        <f t="shared" si="18"/>
        <v>1.5719947159841479</v>
      </c>
      <c r="Q615" s="50">
        <f t="shared" si="19"/>
        <v>21.762073976221679</v>
      </c>
      <c r="R615" s="39" t="s">
        <v>54</v>
      </c>
    </row>
    <row r="616" spans="1:18" x14ac:dyDescent="0.35">
      <c r="A616" s="54">
        <v>1240373</v>
      </c>
      <c r="B616" s="54">
        <v>106827</v>
      </c>
      <c r="C616" s="54" t="s">
        <v>263</v>
      </c>
      <c r="D616" s="51">
        <v>32872.43999999966</v>
      </c>
      <c r="E616" s="52">
        <v>0.32012741677428058</v>
      </c>
      <c r="F616" s="51">
        <v>32872.43999999966</v>
      </c>
      <c r="G616" s="52">
        <v>0.32012741677428058</v>
      </c>
      <c r="H616" s="53">
        <v>2219</v>
      </c>
      <c r="I616" s="52">
        <v>0.18536324786324787</v>
      </c>
      <c r="J616" s="53">
        <v>2219</v>
      </c>
      <c r="K616" s="52">
        <v>0.18536324786324787</v>
      </c>
      <c r="L616" s="53">
        <v>1395</v>
      </c>
      <c r="M616" s="52">
        <v>0.21409921671018275</v>
      </c>
      <c r="N616" s="53">
        <v>1395</v>
      </c>
      <c r="O616" s="52">
        <v>0.21409921671018275</v>
      </c>
      <c r="P616" s="51">
        <f t="shared" si="18"/>
        <v>1.5906810035842294</v>
      </c>
      <c r="Q616" s="50">
        <f t="shared" si="19"/>
        <v>23.564473118279327</v>
      </c>
      <c r="R616" s="39" t="s">
        <v>54</v>
      </c>
    </row>
    <row r="617" spans="1:18" x14ac:dyDescent="0.35">
      <c r="A617" s="54">
        <v>1240435</v>
      </c>
      <c r="B617" s="54">
        <v>107884</v>
      </c>
      <c r="C617" s="54" t="s">
        <v>262</v>
      </c>
      <c r="D617" s="51">
        <v>32781.669999999518</v>
      </c>
      <c r="E617" s="52"/>
      <c r="F617" s="51"/>
      <c r="G617" s="52"/>
      <c r="H617" s="53">
        <v>2135</v>
      </c>
      <c r="I617" s="52" t="s">
        <v>52</v>
      </c>
      <c r="J617" s="53"/>
      <c r="K617" s="52"/>
      <c r="L617" s="53">
        <v>1485</v>
      </c>
      <c r="M617" s="52" t="s">
        <v>52</v>
      </c>
      <c r="N617" s="53"/>
      <c r="O617" s="52"/>
      <c r="P617" s="51">
        <f t="shared" si="18"/>
        <v>1.4377104377104377</v>
      </c>
      <c r="Q617" s="50">
        <f t="shared" si="19"/>
        <v>22.075198653198328</v>
      </c>
      <c r="R617" s="39" t="s">
        <v>51</v>
      </c>
    </row>
    <row r="618" spans="1:18" x14ac:dyDescent="0.35">
      <c r="A618" s="54">
        <v>1240368</v>
      </c>
      <c r="B618" s="54">
        <v>106774</v>
      </c>
      <c r="C618" s="54" t="s">
        <v>261</v>
      </c>
      <c r="D618" s="51">
        <v>32702.899999999605</v>
      </c>
      <c r="E618" s="52">
        <v>-1.3732333199840253E-2</v>
      </c>
      <c r="F618" s="51">
        <v>32702.899999999605</v>
      </c>
      <c r="G618" s="52">
        <v>-1.3732333199840253E-2</v>
      </c>
      <c r="H618" s="53">
        <v>2138</v>
      </c>
      <c r="I618" s="52">
        <v>-0.12556237218813907</v>
      </c>
      <c r="J618" s="53">
        <v>2138</v>
      </c>
      <c r="K618" s="52">
        <v>-0.12556237218813907</v>
      </c>
      <c r="L618" s="53">
        <v>1492</v>
      </c>
      <c r="M618" s="52">
        <v>9.8674521354933722E-2</v>
      </c>
      <c r="N618" s="53">
        <v>1492</v>
      </c>
      <c r="O618" s="52">
        <v>9.8674521354933722E-2</v>
      </c>
      <c r="P618" s="51">
        <f t="shared" si="18"/>
        <v>1.4329758713136729</v>
      </c>
      <c r="Q618" s="50">
        <f t="shared" si="19"/>
        <v>21.918833780160593</v>
      </c>
      <c r="R618" s="39" t="s">
        <v>51</v>
      </c>
    </row>
    <row r="619" spans="1:18" x14ac:dyDescent="0.35">
      <c r="A619" s="54">
        <v>1150006</v>
      </c>
      <c r="B619" s="54">
        <v>107413</v>
      </c>
      <c r="C619" s="54" t="s">
        <v>260</v>
      </c>
      <c r="D619" s="51">
        <v>32632.27999999965</v>
      </c>
      <c r="E619" s="52">
        <v>3.324447389345297</v>
      </c>
      <c r="F619" s="51">
        <v>6930.0800000000072</v>
      </c>
      <c r="G619" s="52">
        <v>-8.1622051417969937E-2</v>
      </c>
      <c r="H619" s="53">
        <v>1854</v>
      </c>
      <c r="I619" s="52">
        <v>3.4782608695652173</v>
      </c>
      <c r="J619" s="53">
        <v>383</v>
      </c>
      <c r="K619" s="52">
        <v>-7.4879227053140096E-2</v>
      </c>
      <c r="L619" s="53">
        <v>1174</v>
      </c>
      <c r="M619" s="52">
        <v>3.6039215686274511</v>
      </c>
      <c r="N619" s="53">
        <v>247</v>
      </c>
      <c r="O619" s="52">
        <v>-3.1372549019607843E-2</v>
      </c>
      <c r="P619" s="51">
        <f t="shared" si="18"/>
        <v>1.5792163543441227</v>
      </c>
      <c r="Q619" s="50">
        <f t="shared" si="19"/>
        <v>27.795809199318271</v>
      </c>
      <c r="R619" s="39" t="s">
        <v>54</v>
      </c>
    </row>
    <row r="620" spans="1:18" x14ac:dyDescent="0.35">
      <c r="A620" s="54">
        <v>1240089</v>
      </c>
      <c r="B620" s="54">
        <v>106897</v>
      </c>
      <c r="C620" s="54" t="s">
        <v>259</v>
      </c>
      <c r="D620" s="51">
        <v>32593.659999999618</v>
      </c>
      <c r="E620" s="52">
        <v>6.0526175363143662E-2</v>
      </c>
      <c r="F620" s="51">
        <v>32593.659999999618</v>
      </c>
      <c r="G620" s="52">
        <v>6.0526175363143662E-2</v>
      </c>
      <c r="H620" s="53">
        <v>2473</v>
      </c>
      <c r="I620" s="52">
        <v>-6.3612268080272621E-2</v>
      </c>
      <c r="J620" s="53">
        <v>2473</v>
      </c>
      <c r="K620" s="52">
        <v>-6.3612268080272621E-2</v>
      </c>
      <c r="L620" s="53">
        <v>1751</v>
      </c>
      <c r="M620" s="52">
        <v>-3.4729878721058434E-2</v>
      </c>
      <c r="N620" s="53">
        <v>1751</v>
      </c>
      <c r="O620" s="52">
        <v>-3.4729878721058434E-2</v>
      </c>
      <c r="P620" s="51">
        <f t="shared" si="18"/>
        <v>1.4123358081096515</v>
      </c>
      <c r="Q620" s="50">
        <f t="shared" si="19"/>
        <v>18.614311821815885</v>
      </c>
      <c r="R620" s="39" t="s">
        <v>51</v>
      </c>
    </row>
    <row r="621" spans="1:18" x14ac:dyDescent="0.35">
      <c r="A621" s="54">
        <v>1190025</v>
      </c>
      <c r="B621" s="54">
        <v>106783</v>
      </c>
      <c r="C621" s="54" t="s">
        <v>258</v>
      </c>
      <c r="D621" s="51">
        <v>32508.499999999651</v>
      </c>
      <c r="E621" s="52">
        <v>0.42221843063137582</v>
      </c>
      <c r="F621" s="51">
        <v>32508.499999999651</v>
      </c>
      <c r="G621" s="52">
        <v>0.42221843063137582</v>
      </c>
      <c r="H621" s="53">
        <v>1937</v>
      </c>
      <c r="I621" s="52">
        <v>0.33035714285714285</v>
      </c>
      <c r="J621" s="53">
        <v>1937</v>
      </c>
      <c r="K621" s="52">
        <v>0.33035714285714285</v>
      </c>
      <c r="L621" s="53">
        <v>1435</v>
      </c>
      <c r="M621" s="52">
        <v>0.3512241054613936</v>
      </c>
      <c r="N621" s="53">
        <v>1435</v>
      </c>
      <c r="O621" s="52">
        <v>0.3512241054613936</v>
      </c>
      <c r="P621" s="51">
        <f t="shared" si="18"/>
        <v>1.3498257839721255</v>
      </c>
      <c r="Q621" s="50">
        <f t="shared" si="19"/>
        <v>22.654006968640871</v>
      </c>
      <c r="R621" s="39" t="s">
        <v>51</v>
      </c>
    </row>
    <row r="622" spans="1:18" x14ac:dyDescent="0.35">
      <c r="A622" s="54">
        <v>1230109</v>
      </c>
      <c r="B622" s="54">
        <v>106663</v>
      </c>
      <c r="C622" s="54" t="s">
        <v>257</v>
      </c>
      <c r="D622" s="51">
        <v>32430.959999999748</v>
      </c>
      <c r="E622" s="52">
        <v>5.193955954132165E-2</v>
      </c>
      <c r="F622" s="51">
        <v>32430.959999999748</v>
      </c>
      <c r="G622" s="52">
        <v>5.193955954132165E-2</v>
      </c>
      <c r="H622" s="53">
        <v>2591</v>
      </c>
      <c r="I622" s="52">
        <v>7.9133694294044155E-2</v>
      </c>
      <c r="J622" s="53">
        <v>2591</v>
      </c>
      <c r="K622" s="52">
        <v>7.9133694294044155E-2</v>
      </c>
      <c r="L622" s="53">
        <v>1739</v>
      </c>
      <c r="M622" s="52">
        <v>5.0755287009063448E-2</v>
      </c>
      <c r="N622" s="53">
        <v>1739</v>
      </c>
      <c r="O622" s="52">
        <v>5.0755287009063448E-2</v>
      </c>
      <c r="P622" s="51">
        <f t="shared" si="18"/>
        <v>1.4899367452558943</v>
      </c>
      <c r="Q622" s="50">
        <f t="shared" si="19"/>
        <v>18.649200690051607</v>
      </c>
      <c r="R622" s="39" t="s">
        <v>51</v>
      </c>
    </row>
    <row r="623" spans="1:18" x14ac:dyDescent="0.35">
      <c r="A623" s="54">
        <v>1240407</v>
      </c>
      <c r="B623" s="54">
        <v>107172</v>
      </c>
      <c r="C623" s="54" t="s">
        <v>256</v>
      </c>
      <c r="D623" s="51">
        <v>32295.049999999523</v>
      </c>
      <c r="E623" s="52">
        <v>0.20701138165680491</v>
      </c>
      <c r="F623" s="51">
        <v>32295.049999999523</v>
      </c>
      <c r="G623" s="52">
        <v>0.20701138165680491</v>
      </c>
      <c r="H623" s="53">
        <v>2172</v>
      </c>
      <c r="I623" s="52">
        <v>0.1019786910197869</v>
      </c>
      <c r="J623" s="53">
        <v>2172</v>
      </c>
      <c r="K623" s="52">
        <v>0.1019786910197869</v>
      </c>
      <c r="L623" s="53">
        <v>1580</v>
      </c>
      <c r="M623" s="52">
        <v>0.16519174041297935</v>
      </c>
      <c r="N623" s="53">
        <v>1580</v>
      </c>
      <c r="O623" s="52">
        <v>0.16519174041297935</v>
      </c>
      <c r="P623" s="51">
        <f t="shared" si="18"/>
        <v>1.3746835443037975</v>
      </c>
      <c r="Q623" s="50">
        <f t="shared" si="19"/>
        <v>20.439905063290837</v>
      </c>
      <c r="R623" s="39" t="s">
        <v>51</v>
      </c>
    </row>
    <row r="624" spans="1:18" x14ac:dyDescent="0.35">
      <c r="A624" s="54">
        <v>1240069</v>
      </c>
      <c r="B624" s="54">
        <v>100836</v>
      </c>
      <c r="C624" s="54" t="s">
        <v>255</v>
      </c>
      <c r="D624" s="51">
        <v>31975.049999999614</v>
      </c>
      <c r="E624" s="52">
        <v>-8.7316878517291224E-2</v>
      </c>
      <c r="F624" s="51">
        <v>31975.049999999614</v>
      </c>
      <c r="G624" s="52">
        <v>-8.7316878517291224E-2</v>
      </c>
      <c r="H624" s="53">
        <v>2054</v>
      </c>
      <c r="I624" s="52">
        <v>-0.11427339370418284</v>
      </c>
      <c r="J624" s="53">
        <v>2054</v>
      </c>
      <c r="K624" s="52">
        <v>-0.11427339370418284</v>
      </c>
      <c r="L624" s="53">
        <v>1428</v>
      </c>
      <c r="M624" s="52">
        <v>-0.10414052697616061</v>
      </c>
      <c r="N624" s="53">
        <v>1428</v>
      </c>
      <c r="O624" s="52">
        <v>-0.10414052697616061</v>
      </c>
      <c r="P624" s="51">
        <f t="shared" si="18"/>
        <v>1.438375350140056</v>
      </c>
      <c r="Q624" s="50">
        <f t="shared" si="19"/>
        <v>22.391491596638385</v>
      </c>
      <c r="R624" s="39" t="s">
        <v>51</v>
      </c>
    </row>
    <row r="625" spans="1:18" x14ac:dyDescent="0.35">
      <c r="A625" s="54">
        <v>1130008</v>
      </c>
      <c r="B625" s="54">
        <v>104329</v>
      </c>
      <c r="C625" s="54" t="s">
        <v>254</v>
      </c>
      <c r="D625" s="51">
        <v>31698.71999999975</v>
      </c>
      <c r="E625" s="52">
        <v>0.25912485302996041</v>
      </c>
      <c r="F625" s="51">
        <v>31698.71999999975</v>
      </c>
      <c r="G625" s="52">
        <v>0.25912485302996041</v>
      </c>
      <c r="H625" s="53">
        <v>1960</v>
      </c>
      <c r="I625" s="52">
        <v>0.15226337448559671</v>
      </c>
      <c r="J625" s="53">
        <v>1960</v>
      </c>
      <c r="K625" s="52">
        <v>0.15226337448559671</v>
      </c>
      <c r="L625" s="53">
        <v>1242</v>
      </c>
      <c r="M625" s="52">
        <v>0.17502365184484389</v>
      </c>
      <c r="N625" s="53">
        <v>1242</v>
      </c>
      <c r="O625" s="52">
        <v>0.17502365184484389</v>
      </c>
      <c r="P625" s="51">
        <f t="shared" si="18"/>
        <v>1.5780998389694041</v>
      </c>
      <c r="Q625" s="50">
        <f t="shared" si="19"/>
        <v>25.522318840579509</v>
      </c>
      <c r="R625" s="39" t="s">
        <v>54</v>
      </c>
    </row>
    <row r="626" spans="1:18" x14ac:dyDescent="0.35">
      <c r="A626" s="54">
        <v>1240258</v>
      </c>
      <c r="B626" s="54">
        <v>106810</v>
      </c>
      <c r="C626" s="54" t="s">
        <v>253</v>
      </c>
      <c r="D626" s="51">
        <v>31680.829999999587</v>
      </c>
      <c r="E626" s="52">
        <v>5.0150325345805158E-2</v>
      </c>
      <c r="F626" s="51">
        <v>31680.829999999587</v>
      </c>
      <c r="G626" s="52">
        <v>5.0150325345805158E-2</v>
      </c>
      <c r="H626" s="53">
        <v>2078</v>
      </c>
      <c r="I626" s="52">
        <v>-4.7892720306513406E-3</v>
      </c>
      <c r="J626" s="53">
        <v>2078</v>
      </c>
      <c r="K626" s="52">
        <v>-4.7892720306513406E-3</v>
      </c>
      <c r="L626" s="53">
        <v>1400</v>
      </c>
      <c r="M626" s="52">
        <v>1.7441860465116279E-2</v>
      </c>
      <c r="N626" s="53">
        <v>1400</v>
      </c>
      <c r="O626" s="52">
        <v>1.7441860465116279E-2</v>
      </c>
      <c r="P626" s="51">
        <f t="shared" si="18"/>
        <v>1.4842857142857142</v>
      </c>
      <c r="Q626" s="50">
        <f t="shared" si="19"/>
        <v>22.629164285713991</v>
      </c>
      <c r="R626" s="39" t="s">
        <v>51</v>
      </c>
    </row>
    <row r="627" spans="1:18" x14ac:dyDescent="0.35">
      <c r="A627" s="54">
        <v>1230126</v>
      </c>
      <c r="B627" s="54">
        <v>107335</v>
      </c>
      <c r="C627" s="54" t="s">
        <v>198</v>
      </c>
      <c r="D627" s="51">
        <v>31515.349999999715</v>
      </c>
      <c r="E627" s="52">
        <v>0.54337287503934728</v>
      </c>
      <c r="F627" s="51">
        <v>3282.2300000000041</v>
      </c>
      <c r="G627" s="52">
        <v>-0.83926230387286049</v>
      </c>
      <c r="H627" s="53">
        <v>1795</v>
      </c>
      <c r="I627" s="52">
        <v>0.5955555555555555</v>
      </c>
      <c r="J627" s="53">
        <v>183</v>
      </c>
      <c r="K627" s="52">
        <v>-0.83733333333333337</v>
      </c>
      <c r="L627" s="53">
        <v>1248</v>
      </c>
      <c r="M627" s="52">
        <v>0.74789915966386555</v>
      </c>
      <c r="N627" s="53">
        <v>124</v>
      </c>
      <c r="O627" s="52">
        <v>-0.8263305322128851</v>
      </c>
      <c r="P627" s="51">
        <f t="shared" si="18"/>
        <v>1.4383012820512822</v>
      </c>
      <c r="Q627" s="50">
        <f t="shared" si="19"/>
        <v>25.252684294871568</v>
      </c>
      <c r="R627" s="39" t="s">
        <v>51</v>
      </c>
    </row>
    <row r="628" spans="1:18" x14ac:dyDescent="0.35">
      <c r="A628" s="54">
        <v>1240288</v>
      </c>
      <c r="B628" s="54">
        <v>105033</v>
      </c>
      <c r="C628" s="54" t="s">
        <v>252</v>
      </c>
      <c r="D628" s="51">
        <v>31395.819999999661</v>
      </c>
      <c r="E628" s="52">
        <v>-0.21615074279605656</v>
      </c>
      <c r="F628" s="51">
        <v>31395.819999999661</v>
      </c>
      <c r="G628" s="52">
        <v>-0.21615074279605656</v>
      </c>
      <c r="H628" s="53">
        <v>1963</v>
      </c>
      <c r="I628" s="52">
        <v>-0.29005424954792042</v>
      </c>
      <c r="J628" s="53">
        <v>1963</v>
      </c>
      <c r="K628" s="52">
        <v>-0.29005424954792042</v>
      </c>
      <c r="L628" s="53">
        <v>1412</v>
      </c>
      <c r="M628" s="52">
        <v>-0.28361237950279045</v>
      </c>
      <c r="N628" s="53">
        <v>1412</v>
      </c>
      <c r="O628" s="52">
        <v>-0.28361237950279045</v>
      </c>
      <c r="P628" s="51">
        <f t="shared" si="18"/>
        <v>1.3902266288951841</v>
      </c>
      <c r="Q628" s="50">
        <f t="shared" si="19"/>
        <v>22.234999999999761</v>
      </c>
      <c r="R628" s="39" t="s">
        <v>51</v>
      </c>
    </row>
    <row r="629" spans="1:18" x14ac:dyDescent="0.35">
      <c r="A629" s="54">
        <v>1160026</v>
      </c>
      <c r="B629" s="54">
        <v>106823</v>
      </c>
      <c r="C629" s="54" t="s">
        <v>251</v>
      </c>
      <c r="D629" s="51">
        <v>31116.619999999639</v>
      </c>
      <c r="E629" s="52">
        <v>9.4146575662350431E-3</v>
      </c>
      <c r="F629" s="51">
        <v>31116.619999999639</v>
      </c>
      <c r="G629" s="52">
        <v>9.4146575662350431E-3</v>
      </c>
      <c r="H629" s="53">
        <v>1855</v>
      </c>
      <c r="I629" s="52">
        <v>-6.4548663640948065E-2</v>
      </c>
      <c r="J629" s="53">
        <v>1855</v>
      </c>
      <c r="K629" s="52">
        <v>-6.4548663640948065E-2</v>
      </c>
      <c r="L629" s="53">
        <v>1313</v>
      </c>
      <c r="M629" s="52">
        <v>-6.4148253741981465E-2</v>
      </c>
      <c r="N629" s="53">
        <v>1313</v>
      </c>
      <c r="O629" s="52">
        <v>-6.4148253741981465E-2</v>
      </c>
      <c r="P629" s="51">
        <f t="shared" si="18"/>
        <v>1.4127951256664129</v>
      </c>
      <c r="Q629" s="50">
        <f t="shared" si="19"/>
        <v>23.698872810357685</v>
      </c>
      <c r="R629" s="39" t="s">
        <v>51</v>
      </c>
    </row>
    <row r="630" spans="1:18" x14ac:dyDescent="0.35">
      <c r="A630" s="54">
        <v>1190013</v>
      </c>
      <c r="B630" s="54">
        <v>104454</v>
      </c>
      <c r="C630" s="54" t="s">
        <v>250</v>
      </c>
      <c r="D630" s="51">
        <v>31021.389999999614</v>
      </c>
      <c r="E630" s="52">
        <v>4.840210333428048E-2</v>
      </c>
      <c r="F630" s="51">
        <v>31021.389999999614</v>
      </c>
      <c r="G630" s="52">
        <v>4.840210333428048E-2</v>
      </c>
      <c r="H630" s="53">
        <v>1768</v>
      </c>
      <c r="I630" s="52">
        <v>-9.0534979423868317E-2</v>
      </c>
      <c r="J630" s="53">
        <v>1768</v>
      </c>
      <c r="K630" s="52">
        <v>-9.0534979423868317E-2</v>
      </c>
      <c r="L630" s="53">
        <v>1272</v>
      </c>
      <c r="M630" s="52">
        <v>-1.7760617760617759E-2</v>
      </c>
      <c r="N630" s="53">
        <v>1272</v>
      </c>
      <c r="O630" s="52">
        <v>-1.7760617760617759E-2</v>
      </c>
      <c r="P630" s="51">
        <f t="shared" si="18"/>
        <v>1.3899371069182389</v>
      </c>
      <c r="Q630" s="50">
        <f t="shared" si="19"/>
        <v>24.387885220125483</v>
      </c>
      <c r="R630" s="39" t="s">
        <v>51</v>
      </c>
    </row>
    <row r="631" spans="1:18" x14ac:dyDescent="0.35">
      <c r="A631" s="54">
        <v>1260024</v>
      </c>
      <c r="B631" s="54">
        <v>105256</v>
      </c>
      <c r="C631" s="54" t="s">
        <v>249</v>
      </c>
      <c r="D631" s="51">
        <v>31015.42999999968</v>
      </c>
      <c r="E631" s="52">
        <v>0.19976287459430545</v>
      </c>
      <c r="F631" s="51">
        <v>31015.42999999968</v>
      </c>
      <c r="G631" s="52">
        <v>0.19976287459430545</v>
      </c>
      <c r="H631" s="53">
        <v>1665</v>
      </c>
      <c r="I631" s="52">
        <v>8.6105675146771032E-2</v>
      </c>
      <c r="J631" s="53">
        <v>1665</v>
      </c>
      <c r="K631" s="52">
        <v>8.6105675146771032E-2</v>
      </c>
      <c r="L631" s="53">
        <v>1185</v>
      </c>
      <c r="M631" s="52">
        <v>0.14825581395348839</v>
      </c>
      <c r="N631" s="53">
        <v>1185</v>
      </c>
      <c r="O631" s="52">
        <v>0.14825581395348839</v>
      </c>
      <c r="P631" s="51">
        <f t="shared" si="18"/>
        <v>1.4050632911392404</v>
      </c>
      <c r="Q631" s="50">
        <f t="shared" si="19"/>
        <v>26.17335864978876</v>
      </c>
      <c r="R631" s="39" t="s">
        <v>51</v>
      </c>
    </row>
    <row r="632" spans="1:18" x14ac:dyDescent="0.35">
      <c r="A632" s="54">
        <v>1070002</v>
      </c>
      <c r="B632" s="54">
        <v>104873</v>
      </c>
      <c r="C632" s="54" t="s">
        <v>248</v>
      </c>
      <c r="D632" s="51">
        <v>30931.849999999671</v>
      </c>
      <c r="E632" s="52">
        <v>-0.1744805650239854</v>
      </c>
      <c r="F632" s="51">
        <v>30931.849999999671</v>
      </c>
      <c r="G632" s="52">
        <v>-0.1744805650239854</v>
      </c>
      <c r="H632" s="53">
        <v>1679</v>
      </c>
      <c r="I632" s="52">
        <v>-0.20123691722169362</v>
      </c>
      <c r="J632" s="53">
        <v>1679</v>
      </c>
      <c r="K632" s="52">
        <v>-0.20123691722169362</v>
      </c>
      <c r="L632" s="53">
        <v>1260</v>
      </c>
      <c r="M632" s="52">
        <v>-0.19385796545105566</v>
      </c>
      <c r="N632" s="53">
        <v>1260</v>
      </c>
      <c r="O632" s="52">
        <v>-0.19385796545105566</v>
      </c>
      <c r="P632" s="51">
        <f t="shared" si="18"/>
        <v>1.3325396825396825</v>
      </c>
      <c r="Q632" s="50">
        <f t="shared" si="19"/>
        <v>24.54908730158704</v>
      </c>
      <c r="R632" s="39" t="s">
        <v>51</v>
      </c>
    </row>
    <row r="633" spans="1:18" x14ac:dyDescent="0.35">
      <c r="A633" s="54">
        <v>1170007</v>
      </c>
      <c r="B633" s="54">
        <v>106352</v>
      </c>
      <c r="C633" s="54" t="s">
        <v>247</v>
      </c>
      <c r="D633" s="51">
        <v>30884.729999999923</v>
      </c>
      <c r="E633" s="52">
        <v>9.3904470862251468E-2</v>
      </c>
      <c r="F633" s="51">
        <v>30884.729999999923</v>
      </c>
      <c r="G633" s="52">
        <v>9.3904470862251468E-2</v>
      </c>
      <c r="H633" s="53">
        <v>1596</v>
      </c>
      <c r="I633" s="52">
        <v>-1.6029593094944512E-2</v>
      </c>
      <c r="J633" s="53">
        <v>1596</v>
      </c>
      <c r="K633" s="52">
        <v>-1.6029593094944512E-2</v>
      </c>
      <c r="L633" s="53">
        <v>913</v>
      </c>
      <c r="M633" s="52">
        <v>0</v>
      </c>
      <c r="N633" s="53">
        <v>913</v>
      </c>
      <c r="O633" s="52">
        <v>0</v>
      </c>
      <c r="P633" s="51">
        <f t="shared" si="18"/>
        <v>1.7480832420591457</v>
      </c>
      <c r="Q633" s="50">
        <f t="shared" si="19"/>
        <v>33.827743702080966</v>
      </c>
      <c r="R633" s="39" t="s">
        <v>54</v>
      </c>
    </row>
    <row r="634" spans="1:18" x14ac:dyDescent="0.35">
      <c r="A634" s="54">
        <v>1240171</v>
      </c>
      <c r="B634" s="54">
        <v>101033</v>
      </c>
      <c r="C634" s="54" t="s">
        <v>246</v>
      </c>
      <c r="D634" s="51">
        <v>30845.839999999735</v>
      </c>
      <c r="E634" s="52">
        <v>3.5641968058973524E-2</v>
      </c>
      <c r="F634" s="51">
        <v>30845.839999999735</v>
      </c>
      <c r="G634" s="52">
        <v>3.5641968058973524E-2</v>
      </c>
      <c r="H634" s="53">
        <v>2121</v>
      </c>
      <c r="I634" s="52">
        <v>-6.6461267605633798E-2</v>
      </c>
      <c r="J634" s="53">
        <v>2121</v>
      </c>
      <c r="K634" s="52">
        <v>-6.6461267605633798E-2</v>
      </c>
      <c r="L634" s="53">
        <v>1369</v>
      </c>
      <c r="M634" s="52">
        <v>-6.9972826086956527E-2</v>
      </c>
      <c r="N634" s="53">
        <v>1369</v>
      </c>
      <c r="O634" s="52">
        <v>-6.9972826086956527E-2</v>
      </c>
      <c r="P634" s="51">
        <f t="shared" si="18"/>
        <v>1.5493060628195763</v>
      </c>
      <c r="Q634" s="50">
        <f t="shared" si="19"/>
        <v>22.531658144630924</v>
      </c>
      <c r="R634" s="39" t="s">
        <v>54</v>
      </c>
    </row>
    <row r="635" spans="1:18" x14ac:dyDescent="0.35">
      <c r="A635" s="54">
        <v>1240316</v>
      </c>
      <c r="B635" s="54">
        <v>105552</v>
      </c>
      <c r="C635" s="54" t="s">
        <v>245</v>
      </c>
      <c r="D635" s="51">
        <v>30486.989999999638</v>
      </c>
      <c r="E635" s="52">
        <v>9.8863506524437844E-2</v>
      </c>
      <c r="F635" s="51">
        <v>30486.989999999638</v>
      </c>
      <c r="G635" s="52">
        <v>9.8863506524437844E-2</v>
      </c>
      <c r="H635" s="53">
        <v>2115</v>
      </c>
      <c r="I635" s="52">
        <v>-1.3526119402985074E-2</v>
      </c>
      <c r="J635" s="53">
        <v>2115</v>
      </c>
      <c r="K635" s="52">
        <v>-1.3526119402985074E-2</v>
      </c>
      <c r="L635" s="53">
        <v>1499</v>
      </c>
      <c r="M635" s="52">
        <v>-1.962066710268149E-2</v>
      </c>
      <c r="N635" s="53">
        <v>1499</v>
      </c>
      <c r="O635" s="52">
        <v>-1.962066710268149E-2</v>
      </c>
      <c r="P635" s="51">
        <f t="shared" si="18"/>
        <v>1.4109406270847231</v>
      </c>
      <c r="Q635" s="50">
        <f t="shared" si="19"/>
        <v>20.338218812541452</v>
      </c>
      <c r="R635" s="39" t="s">
        <v>51</v>
      </c>
    </row>
    <row r="636" spans="1:18" x14ac:dyDescent="0.35">
      <c r="A636" s="54">
        <v>1200030</v>
      </c>
      <c r="B636" s="54">
        <v>107952</v>
      </c>
      <c r="C636" s="54" t="s">
        <v>244</v>
      </c>
      <c r="D636" s="51">
        <v>30395.229999999687</v>
      </c>
      <c r="E636" s="52"/>
      <c r="F636" s="51"/>
      <c r="G636" s="52"/>
      <c r="H636" s="53">
        <v>1542</v>
      </c>
      <c r="I636" s="52" t="s">
        <v>52</v>
      </c>
      <c r="J636" s="53"/>
      <c r="K636" s="52"/>
      <c r="L636" s="53">
        <v>1031</v>
      </c>
      <c r="M636" s="52" t="s">
        <v>52</v>
      </c>
      <c r="N636" s="53"/>
      <c r="O636" s="52"/>
      <c r="P636" s="51">
        <f t="shared" si="18"/>
        <v>1.4956353055286129</v>
      </c>
      <c r="Q636" s="50">
        <f t="shared" si="19"/>
        <v>29.481309408341112</v>
      </c>
      <c r="R636" s="39" t="s">
        <v>51</v>
      </c>
    </row>
    <row r="637" spans="1:18" x14ac:dyDescent="0.35">
      <c r="A637" s="54">
        <v>1240379</v>
      </c>
      <c r="B637" s="54">
        <v>106861</v>
      </c>
      <c r="C637" s="54" t="s">
        <v>243</v>
      </c>
      <c r="D637" s="51">
        <v>30222.319999999592</v>
      </c>
      <c r="E637" s="52">
        <v>-0.11768434150060479</v>
      </c>
      <c r="F637" s="51">
        <v>30222.319999999592</v>
      </c>
      <c r="G637" s="52">
        <v>-0.11768434150060479</v>
      </c>
      <c r="H637" s="53">
        <v>2017</v>
      </c>
      <c r="I637" s="52">
        <v>-0.18107998375964271</v>
      </c>
      <c r="J637" s="53">
        <v>2017</v>
      </c>
      <c r="K637" s="52">
        <v>-0.18107998375964271</v>
      </c>
      <c r="L637" s="53">
        <v>1555</v>
      </c>
      <c r="M637" s="52">
        <v>-0.14560439560439561</v>
      </c>
      <c r="N637" s="53">
        <v>1555</v>
      </c>
      <c r="O637" s="52">
        <v>-0.14560439560439561</v>
      </c>
      <c r="P637" s="51">
        <f t="shared" si="18"/>
        <v>1.2971061093247589</v>
      </c>
      <c r="Q637" s="50">
        <f t="shared" si="19"/>
        <v>19.435575562700702</v>
      </c>
      <c r="R637" s="39" t="s">
        <v>51</v>
      </c>
    </row>
    <row r="638" spans="1:18" x14ac:dyDescent="0.35">
      <c r="A638" s="54">
        <v>1240231</v>
      </c>
      <c r="B638" s="54">
        <v>104024</v>
      </c>
      <c r="C638" s="54" t="s">
        <v>242</v>
      </c>
      <c r="D638" s="51">
        <v>30145.399999999965</v>
      </c>
      <c r="E638" s="52">
        <v>-1.6538057628896541E-2</v>
      </c>
      <c r="F638" s="51">
        <v>30145.399999999965</v>
      </c>
      <c r="G638" s="52">
        <v>-1.6538057628896541E-2</v>
      </c>
      <c r="H638" s="53">
        <v>1796</v>
      </c>
      <c r="I638" s="52">
        <v>-0.11831124202258222</v>
      </c>
      <c r="J638" s="53">
        <v>1796</v>
      </c>
      <c r="K638" s="52">
        <v>-0.11831124202258222</v>
      </c>
      <c r="L638" s="53">
        <v>1323</v>
      </c>
      <c r="M638" s="52">
        <v>-0.11623246492985972</v>
      </c>
      <c r="N638" s="53">
        <v>1323</v>
      </c>
      <c r="O638" s="52">
        <v>-0.11623246492985972</v>
      </c>
      <c r="P638" s="51">
        <f t="shared" si="18"/>
        <v>1.3575207860922147</v>
      </c>
      <c r="Q638" s="50">
        <f t="shared" si="19"/>
        <v>22.785638699924387</v>
      </c>
      <c r="R638" s="39" t="s">
        <v>51</v>
      </c>
    </row>
    <row r="639" spans="1:18" x14ac:dyDescent="0.35">
      <c r="A639" s="54">
        <v>1030004</v>
      </c>
      <c r="B639" s="54">
        <v>107842</v>
      </c>
      <c r="C639" s="54" t="s">
        <v>241</v>
      </c>
      <c r="D639" s="51">
        <v>30094.500000000131</v>
      </c>
      <c r="E639" s="52"/>
      <c r="F639" s="51"/>
      <c r="G639" s="52"/>
      <c r="H639" s="53">
        <v>1324</v>
      </c>
      <c r="I639" s="52" t="s">
        <v>52</v>
      </c>
      <c r="J639" s="53"/>
      <c r="K639" s="52"/>
      <c r="L639" s="53">
        <v>1085</v>
      </c>
      <c r="M639" s="52" t="s">
        <v>52</v>
      </c>
      <c r="N639" s="53"/>
      <c r="O639" s="52"/>
      <c r="P639" s="51">
        <f t="shared" si="18"/>
        <v>1.2202764976958524</v>
      </c>
      <c r="Q639" s="50">
        <f t="shared" si="19"/>
        <v>27.736866359447124</v>
      </c>
      <c r="R639" s="39" t="s">
        <v>51</v>
      </c>
    </row>
    <row r="640" spans="1:18" x14ac:dyDescent="0.35">
      <c r="A640" s="54">
        <v>1230120</v>
      </c>
      <c r="B640" s="54">
        <v>106937</v>
      </c>
      <c r="C640" s="54" t="s">
        <v>240</v>
      </c>
      <c r="D640" s="51">
        <v>29868.259999999675</v>
      </c>
      <c r="E640" s="52">
        <v>-0.40571734413597244</v>
      </c>
      <c r="F640" s="51">
        <v>29868.259999999675</v>
      </c>
      <c r="G640" s="52">
        <v>-0.40571734413597244</v>
      </c>
      <c r="H640" s="53">
        <v>1813</v>
      </c>
      <c r="I640" s="52">
        <v>-0.40518372703412076</v>
      </c>
      <c r="J640" s="53">
        <v>1813</v>
      </c>
      <c r="K640" s="52">
        <v>-0.40518372703412076</v>
      </c>
      <c r="L640" s="53">
        <v>1495</v>
      </c>
      <c r="M640" s="52">
        <v>-0.39277010560519904</v>
      </c>
      <c r="N640" s="53">
        <v>1495</v>
      </c>
      <c r="O640" s="52">
        <v>-0.39277010560519904</v>
      </c>
      <c r="P640" s="51">
        <f t="shared" si="18"/>
        <v>1.2127090301003345</v>
      </c>
      <c r="Q640" s="50">
        <f t="shared" si="19"/>
        <v>19.978769230769014</v>
      </c>
      <c r="R640" s="39" t="s">
        <v>51</v>
      </c>
    </row>
    <row r="641" spans="1:18" x14ac:dyDescent="0.35">
      <c r="A641" s="54">
        <v>1260022</v>
      </c>
      <c r="B641" s="54">
        <v>104878</v>
      </c>
      <c r="C641" s="54" t="s">
        <v>239</v>
      </c>
      <c r="D641" s="51">
        <v>29663.069999999738</v>
      </c>
      <c r="E641" s="52">
        <v>0.29268592421181183</v>
      </c>
      <c r="F641" s="51">
        <v>29663.069999999738</v>
      </c>
      <c r="G641" s="52">
        <v>0.29268592421181183</v>
      </c>
      <c r="H641" s="53">
        <v>1912</v>
      </c>
      <c r="I641" s="52">
        <v>0.33426378227494769</v>
      </c>
      <c r="J641" s="53">
        <v>1912</v>
      </c>
      <c r="K641" s="52">
        <v>0.33426378227494769</v>
      </c>
      <c r="L641" s="53">
        <v>1220</v>
      </c>
      <c r="M641" s="52">
        <v>0.32177681473456121</v>
      </c>
      <c r="N641" s="53">
        <v>1220</v>
      </c>
      <c r="O641" s="52">
        <v>0.32177681473456121</v>
      </c>
      <c r="P641" s="51">
        <f t="shared" si="18"/>
        <v>1.5672131147540984</v>
      </c>
      <c r="Q641" s="50">
        <f t="shared" si="19"/>
        <v>24.313991803278473</v>
      </c>
      <c r="R641" s="39" t="s">
        <v>54</v>
      </c>
    </row>
    <row r="642" spans="1:18" x14ac:dyDescent="0.35">
      <c r="A642" s="54">
        <v>1240405</v>
      </c>
      <c r="B642" s="54">
        <v>107105</v>
      </c>
      <c r="C642" s="54" t="s">
        <v>238</v>
      </c>
      <c r="D642" s="51">
        <v>29632.369999999821</v>
      </c>
      <c r="E642" s="52">
        <v>0.23276154357856063</v>
      </c>
      <c r="F642" s="51">
        <v>29632.369999999821</v>
      </c>
      <c r="G642" s="52">
        <v>0.23276154357856063</v>
      </c>
      <c r="H642" s="53">
        <v>1847</v>
      </c>
      <c r="I642" s="52">
        <v>9.354647720544701E-2</v>
      </c>
      <c r="J642" s="53">
        <v>1847</v>
      </c>
      <c r="K642" s="52">
        <v>9.354647720544701E-2</v>
      </c>
      <c r="L642" s="53">
        <v>667</v>
      </c>
      <c r="M642" s="52">
        <v>-0.23858447488584475</v>
      </c>
      <c r="N642" s="53">
        <v>667</v>
      </c>
      <c r="O642" s="52">
        <v>-0.23858447488584475</v>
      </c>
      <c r="P642" s="51">
        <f t="shared" si="18"/>
        <v>2.7691154422788604</v>
      </c>
      <c r="Q642" s="50">
        <f t="shared" si="19"/>
        <v>44.426341829085189</v>
      </c>
      <c r="R642" s="39" t="s">
        <v>70</v>
      </c>
    </row>
    <row r="643" spans="1:18" x14ac:dyDescent="0.35">
      <c r="A643" s="54">
        <v>1240358</v>
      </c>
      <c r="B643" s="54">
        <v>106704</v>
      </c>
      <c r="C643" s="54" t="s">
        <v>237</v>
      </c>
      <c r="D643" s="51">
        <v>29518.889999999737</v>
      </c>
      <c r="E643" s="52">
        <v>8.9963393281105253E-2</v>
      </c>
      <c r="F643" s="51">
        <v>29518.889999999737</v>
      </c>
      <c r="G643" s="52">
        <v>8.9963393281105253E-2</v>
      </c>
      <c r="H643" s="53">
        <v>1924</v>
      </c>
      <c r="I643" s="52">
        <v>-3.365143144148669E-2</v>
      </c>
      <c r="J643" s="53">
        <v>1924</v>
      </c>
      <c r="K643" s="52">
        <v>-3.365143144148669E-2</v>
      </c>
      <c r="L643" s="53">
        <v>934</v>
      </c>
      <c r="M643" s="52">
        <v>-3.2124352331606217E-2</v>
      </c>
      <c r="N643" s="53">
        <v>934</v>
      </c>
      <c r="O643" s="52">
        <v>-3.2124352331606217E-2</v>
      </c>
      <c r="P643" s="51">
        <f t="shared" si="18"/>
        <v>2.0599571734475375</v>
      </c>
      <c r="Q643" s="50">
        <f t="shared" si="19"/>
        <v>31.604807280513636</v>
      </c>
      <c r="R643" s="39" t="s">
        <v>70</v>
      </c>
    </row>
    <row r="644" spans="1:18" x14ac:dyDescent="0.35">
      <c r="A644" s="54">
        <v>1240329</v>
      </c>
      <c r="B644" s="54">
        <v>107319</v>
      </c>
      <c r="C644" s="54" t="s">
        <v>236</v>
      </c>
      <c r="D644" s="51">
        <v>29297.21999999967</v>
      </c>
      <c r="E644" s="52">
        <v>-0.12558506297877747</v>
      </c>
      <c r="F644" s="51">
        <v>29297.21999999967</v>
      </c>
      <c r="G644" s="52">
        <v>-0.12558506297877747</v>
      </c>
      <c r="H644" s="53">
        <v>1770</v>
      </c>
      <c r="I644" s="52">
        <v>-0.20627802690582961</v>
      </c>
      <c r="J644" s="53">
        <v>1770</v>
      </c>
      <c r="K644" s="52">
        <v>-0.20627802690582961</v>
      </c>
      <c r="L644" s="53">
        <v>1305</v>
      </c>
      <c r="M644" s="52">
        <v>-0.18181818181818182</v>
      </c>
      <c r="N644" s="53">
        <v>1305</v>
      </c>
      <c r="O644" s="52">
        <v>-0.18181818181818182</v>
      </c>
      <c r="P644" s="51">
        <f t="shared" si="18"/>
        <v>1.3563218390804597</v>
      </c>
      <c r="Q644" s="50">
        <f t="shared" si="19"/>
        <v>22.449977011493999</v>
      </c>
      <c r="R644" s="39" t="s">
        <v>51</v>
      </c>
    </row>
    <row r="645" spans="1:18" x14ac:dyDescent="0.35">
      <c r="A645" s="54">
        <v>1240090</v>
      </c>
      <c r="B645" s="54">
        <v>100346</v>
      </c>
      <c r="C645" s="54" t="s">
        <v>235</v>
      </c>
      <c r="D645" s="51">
        <v>28865.169999999751</v>
      </c>
      <c r="E645" s="52">
        <v>-1.5955698982812738E-3</v>
      </c>
      <c r="F645" s="51">
        <v>28865.169999999751</v>
      </c>
      <c r="G645" s="52">
        <v>-1.5955698982812738E-3</v>
      </c>
      <c r="H645" s="53">
        <v>1978</v>
      </c>
      <c r="I645" s="52">
        <v>-8.8899124827268541E-2</v>
      </c>
      <c r="J645" s="53">
        <v>1978</v>
      </c>
      <c r="K645" s="52">
        <v>-8.8899124827268541E-2</v>
      </c>
      <c r="L645" s="53">
        <v>1196</v>
      </c>
      <c r="M645" s="52">
        <v>-4.6251993620414676E-2</v>
      </c>
      <c r="N645" s="53">
        <v>1196</v>
      </c>
      <c r="O645" s="52">
        <v>-4.6251993620414676E-2</v>
      </c>
      <c r="P645" s="51">
        <f t="shared" ref="P645:P708" si="20">H645/L645</f>
        <v>1.6538461538461537</v>
      </c>
      <c r="Q645" s="50">
        <f t="shared" ref="Q645:Q708" si="21">D645/L645</f>
        <v>24.134757525083405</v>
      </c>
      <c r="R645" s="39" t="s">
        <v>54</v>
      </c>
    </row>
    <row r="646" spans="1:18" x14ac:dyDescent="0.35">
      <c r="A646" s="54">
        <v>1240214</v>
      </c>
      <c r="B646" s="54">
        <v>103324</v>
      </c>
      <c r="C646" s="54" t="s">
        <v>234</v>
      </c>
      <c r="D646" s="51">
        <v>28704.469999999717</v>
      </c>
      <c r="E646" s="52">
        <v>-2.8478676599648883E-3</v>
      </c>
      <c r="F646" s="51">
        <v>28704.469999999717</v>
      </c>
      <c r="G646" s="52">
        <v>-2.8478676599648883E-3</v>
      </c>
      <c r="H646" s="53">
        <v>1902</v>
      </c>
      <c r="I646" s="52">
        <v>-3.7449392712550607E-2</v>
      </c>
      <c r="J646" s="53">
        <v>1902</v>
      </c>
      <c r="K646" s="52">
        <v>-3.7449392712550607E-2</v>
      </c>
      <c r="L646" s="53">
        <v>1279</v>
      </c>
      <c r="M646" s="52">
        <v>4.4934640522875817E-2</v>
      </c>
      <c r="N646" s="53">
        <v>1279</v>
      </c>
      <c r="O646" s="52">
        <v>4.4934640522875817E-2</v>
      </c>
      <c r="P646" s="51">
        <f t="shared" si="20"/>
        <v>1.4870992963252541</v>
      </c>
      <c r="Q646" s="50">
        <f t="shared" si="21"/>
        <v>22.442900703674525</v>
      </c>
      <c r="R646" s="39" t="s">
        <v>51</v>
      </c>
    </row>
    <row r="647" spans="1:18" x14ac:dyDescent="0.35">
      <c r="A647" s="54">
        <v>1180007</v>
      </c>
      <c r="B647" s="54">
        <v>104810</v>
      </c>
      <c r="C647" s="54" t="s">
        <v>233</v>
      </c>
      <c r="D647" s="51">
        <v>28395.77999999993</v>
      </c>
      <c r="E647" s="52">
        <v>4.3442313317330131E-2</v>
      </c>
      <c r="F647" s="51">
        <v>28395.77999999993</v>
      </c>
      <c r="G647" s="52">
        <v>4.3442313317330131E-2</v>
      </c>
      <c r="H647" s="53">
        <v>1549</v>
      </c>
      <c r="I647" s="52">
        <v>-4.0272614622057001E-2</v>
      </c>
      <c r="J647" s="53">
        <v>1549</v>
      </c>
      <c r="K647" s="52">
        <v>-4.0272614622057001E-2</v>
      </c>
      <c r="L647" s="53">
        <v>1037</v>
      </c>
      <c r="M647" s="52">
        <v>-2.6291079812206571E-2</v>
      </c>
      <c r="N647" s="53">
        <v>1037</v>
      </c>
      <c r="O647" s="52">
        <v>-2.6291079812206571E-2</v>
      </c>
      <c r="P647" s="51">
        <f t="shared" si="20"/>
        <v>1.493731918997107</v>
      </c>
      <c r="Q647" s="50">
        <f t="shared" si="21"/>
        <v>27.382622950819606</v>
      </c>
      <c r="R647" s="39" t="s">
        <v>51</v>
      </c>
    </row>
    <row r="648" spans="1:18" x14ac:dyDescent="0.35">
      <c r="A648" s="54">
        <v>1260020</v>
      </c>
      <c r="B648" s="54">
        <v>104772</v>
      </c>
      <c r="C648" s="54" t="s">
        <v>232</v>
      </c>
      <c r="D648" s="51">
        <v>28389.369999999697</v>
      </c>
      <c r="E648" s="52">
        <v>6.2021564889887656E-3</v>
      </c>
      <c r="F648" s="51">
        <v>28389.369999999697</v>
      </c>
      <c r="G648" s="52">
        <v>6.2021564889887656E-3</v>
      </c>
      <c r="H648" s="53">
        <v>1775</v>
      </c>
      <c r="I648" s="52">
        <v>-6.2829989440337908E-2</v>
      </c>
      <c r="J648" s="53">
        <v>1775</v>
      </c>
      <c r="K648" s="52">
        <v>-6.2829989440337908E-2</v>
      </c>
      <c r="L648" s="53">
        <v>1251</v>
      </c>
      <c r="M648" s="52">
        <v>-5.1554207733131158E-2</v>
      </c>
      <c r="N648" s="53">
        <v>1251</v>
      </c>
      <c r="O648" s="52">
        <v>-5.1554207733131158E-2</v>
      </c>
      <c r="P648" s="51">
        <f t="shared" si="20"/>
        <v>1.4188649080735412</v>
      </c>
      <c r="Q648" s="50">
        <f t="shared" si="21"/>
        <v>22.693341326938206</v>
      </c>
      <c r="R648" s="39" t="s">
        <v>51</v>
      </c>
    </row>
    <row r="649" spans="1:18" x14ac:dyDescent="0.35">
      <c r="A649" s="54">
        <v>1240246</v>
      </c>
      <c r="B649" s="54">
        <v>104386</v>
      </c>
      <c r="C649" s="54" t="s">
        <v>231</v>
      </c>
      <c r="D649" s="51">
        <v>28381.449999999641</v>
      </c>
      <c r="E649" s="52">
        <v>-0.1414777262966401</v>
      </c>
      <c r="F649" s="51">
        <v>28381.449999999641</v>
      </c>
      <c r="G649" s="52">
        <v>-0.1414777262966401</v>
      </c>
      <c r="H649" s="53">
        <v>1992</v>
      </c>
      <c r="I649" s="52">
        <v>-0.14980793854033292</v>
      </c>
      <c r="J649" s="53">
        <v>1992</v>
      </c>
      <c r="K649" s="52">
        <v>-0.14980793854033292</v>
      </c>
      <c r="L649" s="53">
        <v>1498</v>
      </c>
      <c r="M649" s="52">
        <v>-9.4864048338368576E-2</v>
      </c>
      <c r="N649" s="53">
        <v>1498</v>
      </c>
      <c r="O649" s="52">
        <v>-9.4864048338368576E-2</v>
      </c>
      <c r="P649" s="51">
        <f t="shared" si="20"/>
        <v>1.3297730307076101</v>
      </c>
      <c r="Q649" s="50">
        <f t="shared" si="21"/>
        <v>18.946228304405636</v>
      </c>
      <c r="R649" s="39" t="s">
        <v>51</v>
      </c>
    </row>
    <row r="650" spans="1:18" x14ac:dyDescent="0.35">
      <c r="A650" s="54">
        <v>1230006</v>
      </c>
      <c r="B650" s="54">
        <v>102252</v>
      </c>
      <c r="C650" s="54" t="s">
        <v>230</v>
      </c>
      <c r="D650" s="51">
        <v>28186.659999999636</v>
      </c>
      <c r="E650" s="52">
        <v>-0.13890768540348078</v>
      </c>
      <c r="F650" s="51">
        <v>28186.659999999636</v>
      </c>
      <c r="G650" s="52">
        <v>-0.13890768540348078</v>
      </c>
      <c r="H650" s="53">
        <v>1881</v>
      </c>
      <c r="I650" s="52">
        <v>-0.23815309842041313</v>
      </c>
      <c r="J650" s="53">
        <v>1881</v>
      </c>
      <c r="K650" s="52">
        <v>-0.23815309842041313</v>
      </c>
      <c r="L650" s="53">
        <v>1495</v>
      </c>
      <c r="M650" s="52">
        <v>-0.2047872340425532</v>
      </c>
      <c r="N650" s="53">
        <v>1495</v>
      </c>
      <c r="O650" s="52">
        <v>-0.2047872340425532</v>
      </c>
      <c r="P650" s="51">
        <f t="shared" si="20"/>
        <v>1.2581939799331103</v>
      </c>
      <c r="Q650" s="50">
        <f t="shared" si="21"/>
        <v>18.853953177257281</v>
      </c>
      <c r="R650" s="39" t="s">
        <v>51</v>
      </c>
    </row>
    <row r="651" spans="1:18" x14ac:dyDescent="0.35">
      <c r="A651" s="54">
        <v>1010001</v>
      </c>
      <c r="B651" s="54">
        <v>104694</v>
      </c>
      <c r="C651" s="54" t="s">
        <v>229</v>
      </c>
      <c r="D651" s="51">
        <v>27814.369999999941</v>
      </c>
      <c r="E651" s="52">
        <v>9.8801108346653024E-2</v>
      </c>
      <c r="F651" s="51">
        <v>27814.369999999941</v>
      </c>
      <c r="G651" s="52">
        <v>9.8801108346653024E-2</v>
      </c>
      <c r="H651" s="53">
        <v>1353</v>
      </c>
      <c r="I651" s="52">
        <v>1.424287856071964E-2</v>
      </c>
      <c r="J651" s="53">
        <v>1353</v>
      </c>
      <c r="K651" s="52">
        <v>1.424287856071964E-2</v>
      </c>
      <c r="L651" s="53">
        <v>938</v>
      </c>
      <c r="M651" s="52">
        <v>-2.0876826722338204E-2</v>
      </c>
      <c r="N651" s="53">
        <v>938</v>
      </c>
      <c r="O651" s="52">
        <v>-2.0876826722338204E-2</v>
      </c>
      <c r="P651" s="51">
        <f t="shared" si="20"/>
        <v>1.4424307036247335</v>
      </c>
      <c r="Q651" s="50">
        <f t="shared" si="21"/>
        <v>29.652846481876271</v>
      </c>
      <c r="R651" s="39" t="s">
        <v>51</v>
      </c>
    </row>
    <row r="652" spans="1:18" x14ac:dyDescent="0.35">
      <c r="A652" s="54">
        <v>1200029</v>
      </c>
      <c r="B652" s="54">
        <v>107930</v>
      </c>
      <c r="C652" s="54" t="s">
        <v>228</v>
      </c>
      <c r="D652" s="51">
        <v>27391.529999999741</v>
      </c>
      <c r="E652" s="52"/>
      <c r="F652" s="51"/>
      <c r="G652" s="52"/>
      <c r="H652" s="53">
        <v>1446.9999</v>
      </c>
      <c r="I652" s="52" t="s">
        <v>52</v>
      </c>
      <c r="J652" s="53"/>
      <c r="K652" s="52"/>
      <c r="L652" s="53">
        <v>1053</v>
      </c>
      <c r="M652" s="52" t="s">
        <v>52</v>
      </c>
      <c r="N652" s="53"/>
      <c r="O652" s="52"/>
      <c r="P652" s="51">
        <f t="shared" si="20"/>
        <v>1.3741689458689459</v>
      </c>
      <c r="Q652" s="50">
        <f t="shared" si="21"/>
        <v>26.012849002848757</v>
      </c>
      <c r="R652" s="39" t="s">
        <v>51</v>
      </c>
    </row>
    <row r="653" spans="1:18" x14ac:dyDescent="0.35">
      <c r="A653" s="54">
        <v>1240209</v>
      </c>
      <c r="B653" s="54">
        <v>104235</v>
      </c>
      <c r="C653" s="54" t="s">
        <v>227</v>
      </c>
      <c r="D653" s="51">
        <v>27124.109999999717</v>
      </c>
      <c r="E653" s="52">
        <v>4.6633337938020249E-2</v>
      </c>
      <c r="F653" s="51">
        <v>27124.109999999717</v>
      </c>
      <c r="G653" s="52">
        <v>4.6633337938020249E-2</v>
      </c>
      <c r="H653" s="53">
        <v>1732</v>
      </c>
      <c r="I653" s="52">
        <v>-2.0915771622385528E-2</v>
      </c>
      <c r="J653" s="53">
        <v>1732</v>
      </c>
      <c r="K653" s="52">
        <v>-2.0915771622385528E-2</v>
      </c>
      <c r="L653" s="53">
        <v>1255</v>
      </c>
      <c r="M653" s="52">
        <v>-3.1635802469135804E-2</v>
      </c>
      <c r="N653" s="53">
        <v>1255</v>
      </c>
      <c r="O653" s="52">
        <v>-3.1635802469135804E-2</v>
      </c>
      <c r="P653" s="51">
        <f t="shared" si="20"/>
        <v>1.3800796812749003</v>
      </c>
      <c r="Q653" s="50">
        <f t="shared" si="21"/>
        <v>21.612836653386228</v>
      </c>
      <c r="R653" s="39" t="s">
        <v>51</v>
      </c>
    </row>
    <row r="654" spans="1:18" x14ac:dyDescent="0.35">
      <c r="A654" s="54">
        <v>1200014</v>
      </c>
      <c r="B654" s="54">
        <v>104387</v>
      </c>
      <c r="C654" s="54" t="s">
        <v>226</v>
      </c>
      <c r="D654" s="51">
        <v>26984.839999999764</v>
      </c>
      <c r="E654" s="52">
        <v>-0.15017612259455734</v>
      </c>
      <c r="F654" s="51">
        <v>26984.839999999764</v>
      </c>
      <c r="G654" s="52">
        <v>-0.15017612259455734</v>
      </c>
      <c r="H654" s="53">
        <v>1684</v>
      </c>
      <c r="I654" s="52">
        <v>-0.20901831845937061</v>
      </c>
      <c r="J654" s="53">
        <v>1684</v>
      </c>
      <c r="K654" s="52">
        <v>-0.20901831845937061</v>
      </c>
      <c r="L654" s="53">
        <v>1179</v>
      </c>
      <c r="M654" s="52">
        <v>-0.20013568521031208</v>
      </c>
      <c r="N654" s="53">
        <v>1179</v>
      </c>
      <c r="O654" s="52">
        <v>-0.20013568521031208</v>
      </c>
      <c r="P654" s="51">
        <f t="shared" si="20"/>
        <v>1.42832909245123</v>
      </c>
      <c r="Q654" s="50">
        <f t="shared" si="21"/>
        <v>22.887905004240682</v>
      </c>
      <c r="R654" s="39" t="s">
        <v>51</v>
      </c>
    </row>
    <row r="655" spans="1:18" x14ac:dyDescent="0.35">
      <c r="A655" s="54">
        <v>1240295</v>
      </c>
      <c r="B655" s="54">
        <v>105242</v>
      </c>
      <c r="C655" s="54" t="s">
        <v>225</v>
      </c>
      <c r="D655" s="51">
        <v>26925.819999999709</v>
      </c>
      <c r="E655" s="52">
        <v>-0.17940858265245449</v>
      </c>
      <c r="F655" s="51">
        <v>26925.819999999709</v>
      </c>
      <c r="G655" s="52">
        <v>-0.17940858265245449</v>
      </c>
      <c r="H655" s="53">
        <v>1817</v>
      </c>
      <c r="I655" s="52">
        <v>-0.24038461538461539</v>
      </c>
      <c r="J655" s="53">
        <v>1817</v>
      </c>
      <c r="K655" s="52">
        <v>-0.24038461538461539</v>
      </c>
      <c r="L655" s="53">
        <v>1237</v>
      </c>
      <c r="M655" s="52">
        <v>-0.2244514106583072</v>
      </c>
      <c r="N655" s="53">
        <v>1237</v>
      </c>
      <c r="O655" s="52">
        <v>-0.2244514106583072</v>
      </c>
      <c r="P655" s="51">
        <f t="shared" si="20"/>
        <v>1.4688763136620857</v>
      </c>
      <c r="Q655" s="50">
        <f t="shared" si="21"/>
        <v>21.767033144704694</v>
      </c>
      <c r="R655" s="39" t="s">
        <v>51</v>
      </c>
    </row>
    <row r="656" spans="1:18" x14ac:dyDescent="0.35">
      <c r="A656" s="54">
        <v>1240155</v>
      </c>
      <c r="B656" s="54">
        <v>106732</v>
      </c>
      <c r="C656" s="54" t="s">
        <v>224</v>
      </c>
      <c r="D656" s="51">
        <v>26634.649999999841</v>
      </c>
      <c r="E656" s="52">
        <v>-0.10716596304990103</v>
      </c>
      <c r="F656" s="51">
        <v>26634.649999999841</v>
      </c>
      <c r="G656" s="52">
        <v>-0.10716596304990103</v>
      </c>
      <c r="H656" s="53">
        <v>1859.9900000000002</v>
      </c>
      <c r="I656" s="52">
        <v>-0.20784071550255526</v>
      </c>
      <c r="J656" s="53">
        <v>1859.9900000000002</v>
      </c>
      <c r="K656" s="52">
        <v>-0.20784071550255526</v>
      </c>
      <c r="L656" s="53">
        <v>853</v>
      </c>
      <c r="M656" s="52">
        <v>-0.21164510166358594</v>
      </c>
      <c r="N656" s="53">
        <v>853</v>
      </c>
      <c r="O656" s="52">
        <v>-0.21164510166358594</v>
      </c>
      <c r="P656" s="51">
        <f t="shared" si="20"/>
        <v>2.1805275498241503</v>
      </c>
      <c r="Q656" s="50">
        <f t="shared" si="21"/>
        <v>31.224677608440611</v>
      </c>
      <c r="R656" s="39" t="s">
        <v>70</v>
      </c>
    </row>
    <row r="657" spans="1:18" x14ac:dyDescent="0.35">
      <c r="A657" s="54">
        <v>1250034</v>
      </c>
      <c r="B657" s="54">
        <v>105427</v>
      </c>
      <c r="C657" s="54" t="s">
        <v>223</v>
      </c>
      <c r="D657" s="51">
        <v>26577.859999999782</v>
      </c>
      <c r="E657" s="52">
        <v>-3.6782153832832249E-3</v>
      </c>
      <c r="F657" s="51">
        <v>26577.859999999782</v>
      </c>
      <c r="G657" s="52">
        <v>-3.6782153832832249E-3</v>
      </c>
      <c r="H657" s="53">
        <v>1502</v>
      </c>
      <c r="I657" s="52">
        <v>-0.12775842044134728</v>
      </c>
      <c r="J657" s="53">
        <v>1502</v>
      </c>
      <c r="K657" s="52">
        <v>-0.12775842044134728</v>
      </c>
      <c r="L657" s="53">
        <v>1108</v>
      </c>
      <c r="M657" s="52">
        <v>1.0027347310847767E-2</v>
      </c>
      <c r="N657" s="53">
        <v>1108</v>
      </c>
      <c r="O657" s="52">
        <v>1.0027347310847767E-2</v>
      </c>
      <c r="P657" s="51">
        <f t="shared" si="20"/>
        <v>1.355595667870036</v>
      </c>
      <c r="Q657" s="50">
        <f t="shared" si="21"/>
        <v>23.987238267147816</v>
      </c>
      <c r="R657" s="39" t="s">
        <v>51</v>
      </c>
    </row>
    <row r="658" spans="1:18" x14ac:dyDescent="0.35">
      <c r="A658" s="54">
        <v>1210072</v>
      </c>
      <c r="B658" s="54">
        <v>106731</v>
      </c>
      <c r="C658" s="54" t="s">
        <v>222</v>
      </c>
      <c r="D658" s="51">
        <v>26472.509999999769</v>
      </c>
      <c r="E658" s="52">
        <v>0.14410758345639199</v>
      </c>
      <c r="F658" s="51">
        <v>26472.509999999769</v>
      </c>
      <c r="G658" s="52">
        <v>0.14410758345639199</v>
      </c>
      <c r="H658" s="53">
        <v>1602</v>
      </c>
      <c r="I658" s="52">
        <v>6.3745019920318724E-2</v>
      </c>
      <c r="J658" s="53">
        <v>1602</v>
      </c>
      <c r="K658" s="52">
        <v>6.3745019920318724E-2</v>
      </c>
      <c r="L658" s="53">
        <v>1167</v>
      </c>
      <c r="M658" s="52">
        <v>4.2895442359249331E-2</v>
      </c>
      <c r="N658" s="53">
        <v>1167</v>
      </c>
      <c r="O658" s="52">
        <v>4.2895442359249331E-2</v>
      </c>
      <c r="P658" s="51">
        <f t="shared" si="20"/>
        <v>1.3727506426735219</v>
      </c>
      <c r="Q658" s="50">
        <f t="shared" si="21"/>
        <v>22.684241645244018</v>
      </c>
      <c r="R658" s="39" t="s">
        <v>51</v>
      </c>
    </row>
    <row r="659" spans="1:18" x14ac:dyDescent="0.35">
      <c r="A659" s="54">
        <v>1240033</v>
      </c>
      <c r="B659" s="54">
        <v>100200</v>
      </c>
      <c r="C659" s="54" t="s">
        <v>221</v>
      </c>
      <c r="D659" s="51">
        <v>26462.199999999819</v>
      </c>
      <c r="E659" s="52">
        <v>-5.0164448593800384E-2</v>
      </c>
      <c r="F659" s="51">
        <v>26462.199999999819</v>
      </c>
      <c r="G659" s="52">
        <v>-5.0164448593800384E-2</v>
      </c>
      <c r="H659" s="53">
        <v>1860</v>
      </c>
      <c r="I659" s="52">
        <v>-0.12139820500708549</v>
      </c>
      <c r="J659" s="53">
        <v>1860</v>
      </c>
      <c r="K659" s="52">
        <v>-0.12139820500708549</v>
      </c>
      <c r="L659" s="53">
        <v>1226</v>
      </c>
      <c r="M659" s="52">
        <v>-9.7866077998528325E-2</v>
      </c>
      <c r="N659" s="53">
        <v>1226</v>
      </c>
      <c r="O659" s="52">
        <v>-9.7866077998528325E-2</v>
      </c>
      <c r="P659" s="51">
        <f t="shared" si="20"/>
        <v>1.5171288743882545</v>
      </c>
      <c r="Q659" s="50">
        <f t="shared" si="21"/>
        <v>21.584176182707846</v>
      </c>
      <c r="R659" s="39" t="s">
        <v>54</v>
      </c>
    </row>
    <row r="660" spans="1:18" x14ac:dyDescent="0.35">
      <c r="A660" s="54">
        <v>1240127</v>
      </c>
      <c r="B660" s="54">
        <v>100964</v>
      </c>
      <c r="C660" s="54" t="s">
        <v>220</v>
      </c>
      <c r="D660" s="51">
        <v>26378.52999999981</v>
      </c>
      <c r="E660" s="52">
        <v>-8.9791327001546586E-2</v>
      </c>
      <c r="F660" s="51">
        <v>26378.52999999981</v>
      </c>
      <c r="G660" s="52">
        <v>-8.9791327001546586E-2</v>
      </c>
      <c r="H660" s="53">
        <v>1702</v>
      </c>
      <c r="I660" s="52">
        <v>-0.17538759689922481</v>
      </c>
      <c r="J660" s="53">
        <v>1702</v>
      </c>
      <c r="K660" s="52">
        <v>-0.17538759689922481</v>
      </c>
      <c r="L660" s="53">
        <v>1219</v>
      </c>
      <c r="M660" s="52">
        <v>-0.15756738078783691</v>
      </c>
      <c r="N660" s="53">
        <v>1219</v>
      </c>
      <c r="O660" s="52">
        <v>-0.15756738078783691</v>
      </c>
      <c r="P660" s="51">
        <f t="shared" si="20"/>
        <v>1.3962264150943395</v>
      </c>
      <c r="Q660" s="50">
        <f t="shared" si="21"/>
        <v>21.639483182936676</v>
      </c>
      <c r="R660" s="39" t="s">
        <v>51</v>
      </c>
    </row>
    <row r="661" spans="1:18" x14ac:dyDescent="0.35">
      <c r="A661" s="54">
        <v>1190024</v>
      </c>
      <c r="B661" s="54">
        <v>106765</v>
      </c>
      <c r="C661" s="54" t="s">
        <v>219</v>
      </c>
      <c r="D661" s="51">
        <v>26260.699999999793</v>
      </c>
      <c r="E661" s="52">
        <v>-4.5447969577285988E-2</v>
      </c>
      <c r="F661" s="51">
        <v>26260.699999999793</v>
      </c>
      <c r="G661" s="52">
        <v>-4.5447969577285988E-2</v>
      </c>
      <c r="H661" s="53">
        <v>1416</v>
      </c>
      <c r="I661" s="52">
        <v>-7.7524429967426714E-2</v>
      </c>
      <c r="J661" s="53">
        <v>1416</v>
      </c>
      <c r="K661" s="52">
        <v>-7.7524429967426714E-2</v>
      </c>
      <c r="L661" s="53">
        <v>988</v>
      </c>
      <c r="M661" s="52">
        <v>-0.14827586206896551</v>
      </c>
      <c r="N661" s="53">
        <v>988</v>
      </c>
      <c r="O661" s="52">
        <v>-0.14827586206896551</v>
      </c>
      <c r="P661" s="51">
        <f t="shared" si="20"/>
        <v>1.4331983805668016</v>
      </c>
      <c r="Q661" s="50">
        <f t="shared" si="21"/>
        <v>26.579655870445134</v>
      </c>
      <c r="R661" s="39" t="s">
        <v>51</v>
      </c>
    </row>
    <row r="662" spans="1:18" x14ac:dyDescent="0.35">
      <c r="A662" s="54">
        <v>1220010</v>
      </c>
      <c r="B662" s="54">
        <v>106894</v>
      </c>
      <c r="C662" s="54" t="s">
        <v>218</v>
      </c>
      <c r="D662" s="51">
        <v>25742.5899999998</v>
      </c>
      <c r="E662" s="52">
        <v>0.21389520243697199</v>
      </c>
      <c r="F662" s="51">
        <v>25742.5899999998</v>
      </c>
      <c r="G662" s="52">
        <v>0.21389520243697199</v>
      </c>
      <c r="H662" s="53">
        <v>1470</v>
      </c>
      <c r="I662" s="52">
        <v>0.15566037735849056</v>
      </c>
      <c r="J662" s="53">
        <v>1470</v>
      </c>
      <c r="K662" s="52">
        <v>0.15566037735849056</v>
      </c>
      <c r="L662" s="53">
        <v>1030</v>
      </c>
      <c r="M662" s="52">
        <v>7.6280041797283177E-2</v>
      </c>
      <c r="N662" s="53">
        <v>1030</v>
      </c>
      <c r="O662" s="52">
        <v>7.6280041797283177E-2</v>
      </c>
      <c r="P662" s="51">
        <f t="shared" si="20"/>
        <v>1.4271844660194175</v>
      </c>
      <c r="Q662" s="50">
        <f t="shared" si="21"/>
        <v>24.992805825242524</v>
      </c>
      <c r="R662" s="39" t="s">
        <v>51</v>
      </c>
    </row>
    <row r="663" spans="1:18" x14ac:dyDescent="0.35">
      <c r="A663" s="54">
        <v>1180003</v>
      </c>
      <c r="B663" s="54">
        <v>102891</v>
      </c>
      <c r="C663" s="54" t="s">
        <v>217</v>
      </c>
      <c r="D663" s="51">
        <v>25136.269999999968</v>
      </c>
      <c r="E663" s="52">
        <v>-9.3699556120905525E-2</v>
      </c>
      <c r="F663" s="51">
        <v>25136.269999999968</v>
      </c>
      <c r="G663" s="52">
        <v>-9.3699556120905525E-2</v>
      </c>
      <c r="H663" s="53">
        <v>1437</v>
      </c>
      <c r="I663" s="52">
        <v>-0.12431444241316271</v>
      </c>
      <c r="J663" s="53">
        <v>1437</v>
      </c>
      <c r="K663" s="52">
        <v>-0.12431444241316271</v>
      </c>
      <c r="L663" s="53">
        <v>1037</v>
      </c>
      <c r="M663" s="52">
        <v>-9.4323144104803497E-2</v>
      </c>
      <c r="N663" s="53">
        <v>1037</v>
      </c>
      <c r="O663" s="52">
        <v>-9.4323144104803497E-2</v>
      </c>
      <c r="P663" s="51">
        <f t="shared" si="20"/>
        <v>1.3857280617164898</v>
      </c>
      <c r="Q663" s="50">
        <f t="shared" si="21"/>
        <v>24.239411764705853</v>
      </c>
      <c r="R663" s="39" t="s">
        <v>51</v>
      </c>
    </row>
    <row r="664" spans="1:18" x14ac:dyDescent="0.35">
      <c r="A664" s="54">
        <v>1260028</v>
      </c>
      <c r="B664" s="54">
        <v>106394</v>
      </c>
      <c r="C664" s="54" t="s">
        <v>216</v>
      </c>
      <c r="D664" s="51">
        <v>25110.279999999846</v>
      </c>
      <c r="E664" s="52">
        <v>1.818438379648853E-2</v>
      </c>
      <c r="F664" s="51">
        <v>25110.279999999846</v>
      </c>
      <c r="G664" s="52">
        <v>1.818438379648853E-2</v>
      </c>
      <c r="H664" s="53">
        <v>1524</v>
      </c>
      <c r="I664" s="52">
        <v>1.9723865877712033E-3</v>
      </c>
      <c r="J664" s="53">
        <v>1524</v>
      </c>
      <c r="K664" s="52">
        <v>1.9723865877712033E-3</v>
      </c>
      <c r="L664" s="53">
        <v>1002</v>
      </c>
      <c r="M664" s="52">
        <v>1.6227180527383367E-2</v>
      </c>
      <c r="N664" s="53">
        <v>1002</v>
      </c>
      <c r="O664" s="52">
        <v>1.6227180527383367E-2</v>
      </c>
      <c r="P664" s="51">
        <f t="shared" si="20"/>
        <v>1.5209580838323353</v>
      </c>
      <c r="Q664" s="50">
        <f t="shared" si="21"/>
        <v>25.06015968063857</v>
      </c>
      <c r="R664" s="39" t="s">
        <v>54</v>
      </c>
    </row>
    <row r="665" spans="1:18" x14ac:dyDescent="0.35">
      <c r="A665" s="54">
        <v>1240081</v>
      </c>
      <c r="B665" s="54">
        <v>100648</v>
      </c>
      <c r="C665" s="54" t="s">
        <v>215</v>
      </c>
      <c r="D665" s="51">
        <v>24970.649999999838</v>
      </c>
      <c r="E665" s="52">
        <v>-9.0258772198277298E-2</v>
      </c>
      <c r="F665" s="51">
        <v>24970.649999999838</v>
      </c>
      <c r="G665" s="52">
        <v>-9.0258772198277298E-2</v>
      </c>
      <c r="H665" s="53">
        <v>1706.9900000000002</v>
      </c>
      <c r="I665" s="52">
        <v>-0.1713640776699028</v>
      </c>
      <c r="J665" s="53">
        <v>1706.9900000000002</v>
      </c>
      <c r="K665" s="52">
        <v>-0.1713640776699028</v>
      </c>
      <c r="L665" s="53">
        <v>1108</v>
      </c>
      <c r="M665" s="52">
        <v>-0.20345075485262401</v>
      </c>
      <c r="N665" s="53">
        <v>1108</v>
      </c>
      <c r="O665" s="52">
        <v>-0.20345075485262401</v>
      </c>
      <c r="P665" s="51">
        <f t="shared" si="20"/>
        <v>1.5406046931407944</v>
      </c>
      <c r="Q665" s="50">
        <f t="shared" si="21"/>
        <v>22.536687725631623</v>
      </c>
      <c r="R665" s="39" t="s">
        <v>54</v>
      </c>
    </row>
    <row r="666" spans="1:18" x14ac:dyDescent="0.35">
      <c r="A666" s="54">
        <v>1240290</v>
      </c>
      <c r="B666" s="54">
        <v>105167</v>
      </c>
      <c r="C666" s="54" t="s">
        <v>214</v>
      </c>
      <c r="D666" s="51">
        <v>24963.739999999809</v>
      </c>
      <c r="E666" s="52">
        <v>-0.39257426224402558</v>
      </c>
      <c r="F666" s="51">
        <v>24963.739999999809</v>
      </c>
      <c r="G666" s="52">
        <v>-0.39257426224402558</v>
      </c>
      <c r="H666" s="53">
        <v>1636</v>
      </c>
      <c r="I666" s="52">
        <v>-0.46219592373438528</v>
      </c>
      <c r="J666" s="53">
        <v>1636</v>
      </c>
      <c r="K666" s="52">
        <v>-0.46219592373438528</v>
      </c>
      <c r="L666" s="53">
        <v>1140</v>
      </c>
      <c r="M666" s="52">
        <v>-0.44954128440366975</v>
      </c>
      <c r="N666" s="53">
        <v>1140</v>
      </c>
      <c r="O666" s="52">
        <v>-0.44954128440366975</v>
      </c>
      <c r="P666" s="51">
        <f t="shared" si="20"/>
        <v>1.4350877192982456</v>
      </c>
      <c r="Q666" s="50">
        <f t="shared" si="21"/>
        <v>21.898017543859481</v>
      </c>
      <c r="R666" s="39" t="s">
        <v>51</v>
      </c>
    </row>
    <row r="667" spans="1:18" x14ac:dyDescent="0.35">
      <c r="A667" s="54">
        <v>1110006</v>
      </c>
      <c r="B667" s="54">
        <v>106537</v>
      </c>
      <c r="C667" s="54" t="s">
        <v>213</v>
      </c>
      <c r="D667" s="51">
        <v>24626.999999999818</v>
      </c>
      <c r="E667" s="52">
        <v>-0.16071690255564669</v>
      </c>
      <c r="F667" s="51">
        <v>24626.999999999818</v>
      </c>
      <c r="G667" s="52">
        <v>-0.16071690255564669</v>
      </c>
      <c r="H667" s="53">
        <v>1386</v>
      </c>
      <c r="I667" s="52">
        <v>-0.19042056074766356</v>
      </c>
      <c r="J667" s="53">
        <v>1386</v>
      </c>
      <c r="K667" s="52">
        <v>-0.19042056074766356</v>
      </c>
      <c r="L667" s="53">
        <v>944</v>
      </c>
      <c r="M667" s="52">
        <v>-0.19522591645353793</v>
      </c>
      <c r="N667" s="53">
        <v>944</v>
      </c>
      <c r="O667" s="52">
        <v>-0.19522591645353793</v>
      </c>
      <c r="P667" s="51">
        <f t="shared" si="20"/>
        <v>1.4682203389830508</v>
      </c>
      <c r="Q667" s="50">
        <f t="shared" si="21"/>
        <v>26.087923728813365</v>
      </c>
      <c r="R667" s="39" t="s">
        <v>51</v>
      </c>
    </row>
    <row r="668" spans="1:18" x14ac:dyDescent="0.35">
      <c r="A668" s="54">
        <v>1240419</v>
      </c>
      <c r="B668" s="54">
        <v>107406</v>
      </c>
      <c r="C668" s="54" t="s">
        <v>212</v>
      </c>
      <c r="D668" s="51">
        <v>24343.589999999829</v>
      </c>
      <c r="E668" s="52"/>
      <c r="F668" s="51">
        <v>5776.4300000000167</v>
      </c>
      <c r="G668" s="52"/>
      <c r="H668" s="53">
        <v>1446</v>
      </c>
      <c r="I668" s="52" t="s">
        <v>52</v>
      </c>
      <c r="J668" s="53">
        <v>343</v>
      </c>
      <c r="K668" s="52"/>
      <c r="L668" s="53">
        <v>970</v>
      </c>
      <c r="M668" s="52" t="s">
        <v>52</v>
      </c>
      <c r="N668" s="53">
        <v>228</v>
      </c>
      <c r="O668" s="52"/>
      <c r="P668" s="51">
        <f t="shared" si="20"/>
        <v>1.4907216494845361</v>
      </c>
      <c r="Q668" s="50">
        <f t="shared" si="21"/>
        <v>25.096484536082297</v>
      </c>
      <c r="R668" s="39" t="s">
        <v>51</v>
      </c>
    </row>
    <row r="669" spans="1:18" x14ac:dyDescent="0.35">
      <c r="A669" s="54">
        <v>1240415</v>
      </c>
      <c r="B669" s="54">
        <v>107342</v>
      </c>
      <c r="C669" s="54" t="s">
        <v>211</v>
      </c>
      <c r="D669" s="51">
        <v>24337.45999999985</v>
      </c>
      <c r="E669" s="52">
        <v>2.1414164136646034E-2</v>
      </c>
      <c r="F669" s="51">
        <v>18657.14000000001</v>
      </c>
      <c r="G669" s="52">
        <v>-0.21698209023125206</v>
      </c>
      <c r="H669" s="53">
        <v>1537</v>
      </c>
      <c r="I669" s="52">
        <v>5.7811424638678596E-2</v>
      </c>
      <c r="J669" s="53">
        <v>1177</v>
      </c>
      <c r="K669" s="52">
        <v>-0.1899518238128011</v>
      </c>
      <c r="L669" s="53">
        <v>1036</v>
      </c>
      <c r="M669" s="52">
        <v>8.3682008368200833E-2</v>
      </c>
      <c r="N669" s="53">
        <v>790</v>
      </c>
      <c r="O669" s="52">
        <v>-0.17364016736401675</v>
      </c>
      <c r="P669" s="51">
        <f t="shared" si="20"/>
        <v>1.4835907335907337</v>
      </c>
      <c r="Q669" s="50">
        <f t="shared" si="21"/>
        <v>23.491756756756612</v>
      </c>
      <c r="R669" s="39" t="s">
        <v>51</v>
      </c>
    </row>
    <row r="670" spans="1:18" x14ac:dyDescent="0.35">
      <c r="A670" s="54">
        <v>1240343</v>
      </c>
      <c r="B670" s="54">
        <v>108276</v>
      </c>
      <c r="C670" s="54" t="s">
        <v>210</v>
      </c>
      <c r="D670" s="51">
        <v>24326.909999999792</v>
      </c>
      <c r="E670" s="52"/>
      <c r="F670" s="51">
        <v>24326.909999999792</v>
      </c>
      <c r="G670" s="52"/>
      <c r="H670" s="53">
        <v>1617</v>
      </c>
      <c r="I670" s="52" t="s">
        <v>52</v>
      </c>
      <c r="J670" s="53">
        <v>1617</v>
      </c>
      <c r="K670" s="52"/>
      <c r="L670" s="53">
        <v>1155</v>
      </c>
      <c r="M670" s="52" t="s">
        <v>52</v>
      </c>
      <c r="N670" s="53">
        <v>1155</v>
      </c>
      <c r="O670" s="52"/>
      <c r="P670" s="51">
        <f t="shared" si="20"/>
        <v>1.4</v>
      </c>
      <c r="Q670" s="50">
        <f t="shared" si="21"/>
        <v>21.062259740259559</v>
      </c>
      <c r="R670" s="39" t="s">
        <v>51</v>
      </c>
    </row>
    <row r="671" spans="1:18" x14ac:dyDescent="0.35">
      <c r="A671" s="54">
        <v>1210052</v>
      </c>
      <c r="B671" s="54">
        <v>105004</v>
      </c>
      <c r="C671" s="54" t="s">
        <v>209</v>
      </c>
      <c r="D671" s="51">
        <v>24027.339999999815</v>
      </c>
      <c r="E671" s="52">
        <v>-0.13867906131076188</v>
      </c>
      <c r="F671" s="51">
        <v>24027.339999999815</v>
      </c>
      <c r="G671" s="52">
        <v>-0.13867906131076188</v>
      </c>
      <c r="H671" s="53">
        <v>1399</v>
      </c>
      <c r="I671" s="52">
        <v>-0.14486552567237163</v>
      </c>
      <c r="J671" s="53">
        <v>1399</v>
      </c>
      <c r="K671" s="52">
        <v>-0.14486552567237163</v>
      </c>
      <c r="L671" s="53">
        <v>1002</v>
      </c>
      <c r="M671" s="52">
        <v>-0.13321799307958476</v>
      </c>
      <c r="N671" s="53">
        <v>1002</v>
      </c>
      <c r="O671" s="52">
        <v>-0.13321799307958476</v>
      </c>
      <c r="P671" s="51">
        <f t="shared" si="20"/>
        <v>1.3962075848303392</v>
      </c>
      <c r="Q671" s="50">
        <f t="shared" si="21"/>
        <v>23.979381237524766</v>
      </c>
      <c r="R671" s="39" t="s">
        <v>51</v>
      </c>
    </row>
    <row r="672" spans="1:18" x14ac:dyDescent="0.35">
      <c r="A672" s="54">
        <v>1240273</v>
      </c>
      <c r="B672" s="54">
        <v>104865</v>
      </c>
      <c r="C672" s="54" t="s">
        <v>208</v>
      </c>
      <c r="D672" s="51">
        <v>24026.849999999846</v>
      </c>
      <c r="E672" s="52">
        <v>0.34795709759074106</v>
      </c>
      <c r="F672" s="51">
        <v>24026.849999999846</v>
      </c>
      <c r="G672" s="52">
        <v>0.34795709759074106</v>
      </c>
      <c r="H672" s="53">
        <v>1603</v>
      </c>
      <c r="I672" s="52">
        <v>0.2631993695823483</v>
      </c>
      <c r="J672" s="53">
        <v>1603</v>
      </c>
      <c r="K672" s="52">
        <v>0.2631993695823483</v>
      </c>
      <c r="L672" s="53">
        <v>933</v>
      </c>
      <c r="M672" s="52">
        <v>0.32528409090909088</v>
      </c>
      <c r="N672" s="53">
        <v>933</v>
      </c>
      <c r="O672" s="52">
        <v>0.32528409090909088</v>
      </c>
      <c r="P672" s="51">
        <f t="shared" si="20"/>
        <v>1.7181136120042872</v>
      </c>
      <c r="Q672" s="50">
        <f t="shared" si="21"/>
        <v>25.752250803858356</v>
      </c>
      <c r="R672" s="39" t="s">
        <v>54</v>
      </c>
    </row>
    <row r="673" spans="1:18" x14ac:dyDescent="0.35">
      <c r="A673" s="54">
        <v>1160013</v>
      </c>
      <c r="B673" s="54">
        <v>104538</v>
      </c>
      <c r="C673" s="54" t="s">
        <v>207</v>
      </c>
      <c r="D673" s="51">
        <v>24024.099999999817</v>
      </c>
      <c r="E673" s="52">
        <v>0.10604732448523162</v>
      </c>
      <c r="F673" s="51">
        <v>24024.099999999817</v>
      </c>
      <c r="G673" s="52">
        <v>0.10604732448523162</v>
      </c>
      <c r="H673" s="53">
        <v>1314</v>
      </c>
      <c r="I673" s="52">
        <v>-5.9413027916964928E-2</v>
      </c>
      <c r="J673" s="53">
        <v>1314</v>
      </c>
      <c r="K673" s="52">
        <v>-5.9413027916964928E-2</v>
      </c>
      <c r="L673" s="53">
        <v>960</v>
      </c>
      <c r="M673" s="52">
        <v>-6.7961165048543687E-2</v>
      </c>
      <c r="N673" s="53">
        <v>960</v>
      </c>
      <c r="O673" s="52">
        <v>-6.7961165048543687E-2</v>
      </c>
      <c r="P673" s="51">
        <f t="shared" si="20"/>
        <v>1.3687499999999999</v>
      </c>
      <c r="Q673" s="50">
        <f t="shared" si="21"/>
        <v>25.025104166666477</v>
      </c>
      <c r="R673" s="39" t="s">
        <v>51</v>
      </c>
    </row>
    <row r="674" spans="1:18" x14ac:dyDescent="0.35">
      <c r="A674" s="54">
        <v>1020001</v>
      </c>
      <c r="B674" s="54">
        <v>102786</v>
      </c>
      <c r="C674" s="54" t="s">
        <v>206</v>
      </c>
      <c r="D674" s="51">
        <v>23833.779999999904</v>
      </c>
      <c r="E674" s="52">
        <v>-0.6709421297919852</v>
      </c>
      <c r="F674" s="51">
        <v>23833.779999999904</v>
      </c>
      <c r="G674" s="52">
        <v>-0.29390890825352767</v>
      </c>
      <c r="H674" s="53">
        <v>1180</v>
      </c>
      <c r="I674" s="52">
        <v>-0.69882593159775397</v>
      </c>
      <c r="J674" s="53">
        <v>1180</v>
      </c>
      <c r="K674" s="52">
        <v>-0.36965811965811968</v>
      </c>
      <c r="L674" s="53">
        <v>741</v>
      </c>
      <c r="M674" s="52">
        <v>-0.72827282728272824</v>
      </c>
      <c r="N674" s="53">
        <v>741</v>
      </c>
      <c r="O674" s="52">
        <v>-0.43478260869565216</v>
      </c>
      <c r="P674" s="51">
        <f t="shared" si="20"/>
        <v>1.592442645074224</v>
      </c>
      <c r="Q674" s="50">
        <f t="shared" si="21"/>
        <v>32.164345479082193</v>
      </c>
      <c r="R674" s="39" t="s">
        <v>54</v>
      </c>
    </row>
    <row r="675" spans="1:18" x14ac:dyDescent="0.35">
      <c r="A675" s="54">
        <v>1240384</v>
      </c>
      <c r="B675" s="54">
        <v>106927</v>
      </c>
      <c r="C675" s="54" t="s">
        <v>205</v>
      </c>
      <c r="D675" s="51">
        <v>23733.739999999849</v>
      </c>
      <c r="E675" s="52">
        <v>0.24721037801387213</v>
      </c>
      <c r="F675" s="51">
        <v>23733.739999999849</v>
      </c>
      <c r="G675" s="52">
        <v>0.24721037801387213</v>
      </c>
      <c r="H675" s="53">
        <v>1438</v>
      </c>
      <c r="I675" s="52">
        <v>7.9579579579579576E-2</v>
      </c>
      <c r="J675" s="53">
        <v>1438</v>
      </c>
      <c r="K675" s="52">
        <v>7.9579579579579576E-2</v>
      </c>
      <c r="L675" s="53">
        <v>928</v>
      </c>
      <c r="M675" s="52">
        <v>9.8224852071005911E-2</v>
      </c>
      <c r="N675" s="53">
        <v>928</v>
      </c>
      <c r="O675" s="52">
        <v>9.8224852071005911E-2</v>
      </c>
      <c r="P675" s="51">
        <f t="shared" si="20"/>
        <v>1.5495689655172413</v>
      </c>
      <c r="Q675" s="50">
        <f t="shared" si="21"/>
        <v>25.575150862068803</v>
      </c>
      <c r="R675" s="39" t="s">
        <v>54</v>
      </c>
    </row>
    <row r="676" spans="1:18" x14ac:dyDescent="0.35">
      <c r="A676" s="54">
        <v>1240330</v>
      </c>
      <c r="B676" s="54">
        <v>105730</v>
      </c>
      <c r="C676" s="54" t="s">
        <v>204</v>
      </c>
      <c r="D676" s="51">
        <v>23687.339999999851</v>
      </c>
      <c r="E676" s="52">
        <v>-0.1455711338703865</v>
      </c>
      <c r="F676" s="51">
        <v>23687.339999999851</v>
      </c>
      <c r="G676" s="52">
        <v>-0.1455711338703865</v>
      </c>
      <c r="H676" s="53">
        <v>1447</v>
      </c>
      <c r="I676" s="52">
        <v>-0.18570624648283623</v>
      </c>
      <c r="J676" s="53">
        <v>1447</v>
      </c>
      <c r="K676" s="52">
        <v>-0.18570624648283623</v>
      </c>
      <c r="L676" s="53">
        <v>946</v>
      </c>
      <c r="M676" s="52">
        <v>-0.13449222323879231</v>
      </c>
      <c r="N676" s="53">
        <v>946</v>
      </c>
      <c r="O676" s="52">
        <v>-0.13449222323879231</v>
      </c>
      <c r="P676" s="51">
        <f t="shared" si="20"/>
        <v>1.529598308668076</v>
      </c>
      <c r="Q676" s="50">
        <f t="shared" si="21"/>
        <v>25.039471458773626</v>
      </c>
      <c r="R676" s="39" t="s">
        <v>54</v>
      </c>
    </row>
    <row r="677" spans="1:18" x14ac:dyDescent="0.35">
      <c r="A677" s="54">
        <v>1240267</v>
      </c>
      <c r="B677" s="54">
        <v>104784</v>
      </c>
      <c r="C677" s="54" t="s">
        <v>203</v>
      </c>
      <c r="D677" s="51">
        <v>23633.709999999832</v>
      </c>
      <c r="E677" s="52">
        <v>2.2219732793997461E-2</v>
      </c>
      <c r="F677" s="51">
        <v>23633.709999999832</v>
      </c>
      <c r="G677" s="52">
        <v>2.2219732793997461E-2</v>
      </c>
      <c r="H677" s="53">
        <v>1636</v>
      </c>
      <c r="I677" s="52">
        <v>-4.2154566744730677E-2</v>
      </c>
      <c r="J677" s="53">
        <v>1636</v>
      </c>
      <c r="K677" s="52">
        <v>-4.2154566744730677E-2</v>
      </c>
      <c r="L677" s="53">
        <v>1155</v>
      </c>
      <c r="M677" s="52">
        <v>-4.228855721393035E-2</v>
      </c>
      <c r="N677" s="53">
        <v>1155</v>
      </c>
      <c r="O677" s="52">
        <v>-4.228855721393035E-2</v>
      </c>
      <c r="P677" s="51">
        <f t="shared" si="20"/>
        <v>1.4164502164502164</v>
      </c>
      <c r="Q677" s="50">
        <f t="shared" si="21"/>
        <v>20.462086580086435</v>
      </c>
      <c r="R677" s="39" t="s">
        <v>51</v>
      </c>
    </row>
    <row r="678" spans="1:18" x14ac:dyDescent="0.35">
      <c r="A678" s="54">
        <v>1270016</v>
      </c>
      <c r="B678" s="54">
        <v>104541</v>
      </c>
      <c r="C678" s="54" t="s">
        <v>202</v>
      </c>
      <c r="D678" s="51">
        <v>23399.470000000088</v>
      </c>
      <c r="E678" s="52">
        <v>-0.24049419630293814</v>
      </c>
      <c r="F678" s="51">
        <v>23399.470000000088</v>
      </c>
      <c r="G678" s="52">
        <v>-0.24049419630293814</v>
      </c>
      <c r="H678" s="53">
        <v>1306</v>
      </c>
      <c r="I678" s="52">
        <v>-0.30936012691697512</v>
      </c>
      <c r="J678" s="53">
        <v>1306</v>
      </c>
      <c r="K678" s="52">
        <v>-0.30936012691697512</v>
      </c>
      <c r="L678" s="53">
        <v>798</v>
      </c>
      <c r="M678" s="52">
        <v>-0.27848101265822783</v>
      </c>
      <c r="N678" s="53">
        <v>798</v>
      </c>
      <c r="O678" s="52">
        <v>-0.27848101265822783</v>
      </c>
      <c r="P678" s="51">
        <f t="shared" si="20"/>
        <v>1.6365914786967419</v>
      </c>
      <c r="Q678" s="50">
        <f t="shared" si="21"/>
        <v>29.3226441102758</v>
      </c>
      <c r="R678" s="39" t="s">
        <v>54</v>
      </c>
    </row>
    <row r="679" spans="1:18" x14ac:dyDescent="0.35">
      <c r="A679" s="54">
        <v>1240319</v>
      </c>
      <c r="B679" s="54">
        <v>108373</v>
      </c>
      <c r="C679" s="54" t="s">
        <v>201</v>
      </c>
      <c r="D679" s="51">
        <v>23249.07999999982</v>
      </c>
      <c r="E679" s="52"/>
      <c r="F679" s="51">
        <v>23249.07999999982</v>
      </c>
      <c r="G679" s="52"/>
      <c r="H679" s="53">
        <v>1530</v>
      </c>
      <c r="I679" s="52" t="s">
        <v>52</v>
      </c>
      <c r="J679" s="53">
        <v>1530</v>
      </c>
      <c r="K679" s="52"/>
      <c r="L679" s="53">
        <v>1081</v>
      </c>
      <c r="M679" s="52" t="s">
        <v>52</v>
      </c>
      <c r="N679" s="53">
        <v>1081</v>
      </c>
      <c r="O679" s="52"/>
      <c r="P679" s="51">
        <f t="shared" si="20"/>
        <v>1.4153561517113784</v>
      </c>
      <c r="Q679" s="50">
        <f t="shared" si="21"/>
        <v>21.507012025901776</v>
      </c>
      <c r="R679" s="39" t="s">
        <v>51</v>
      </c>
    </row>
    <row r="680" spans="1:18" x14ac:dyDescent="0.35">
      <c r="A680" s="54">
        <v>1190026</v>
      </c>
      <c r="B680" s="54">
        <v>106782</v>
      </c>
      <c r="C680" s="54" t="s">
        <v>200</v>
      </c>
      <c r="D680" s="51">
        <v>23024.739999999831</v>
      </c>
      <c r="E680" s="52">
        <v>-0.30965847422156401</v>
      </c>
      <c r="F680" s="51">
        <v>23024.739999999831</v>
      </c>
      <c r="G680" s="52">
        <v>-0.30965847422156401</v>
      </c>
      <c r="H680" s="53">
        <v>1528</v>
      </c>
      <c r="I680" s="52">
        <v>-0.24691966485953673</v>
      </c>
      <c r="J680" s="53">
        <v>1528</v>
      </c>
      <c r="K680" s="52">
        <v>-0.24691966485953673</v>
      </c>
      <c r="L680" s="53">
        <v>1044</v>
      </c>
      <c r="M680" s="52">
        <v>-0.28148657949070888</v>
      </c>
      <c r="N680" s="53">
        <v>1044</v>
      </c>
      <c r="O680" s="52">
        <v>-0.28148657949070888</v>
      </c>
      <c r="P680" s="51">
        <f t="shared" si="20"/>
        <v>1.4636015325670497</v>
      </c>
      <c r="Q680" s="50">
        <f t="shared" si="21"/>
        <v>22.054348659003669</v>
      </c>
      <c r="R680" s="39" t="s">
        <v>51</v>
      </c>
    </row>
    <row r="681" spans="1:18" x14ac:dyDescent="0.35">
      <c r="A681" s="54">
        <v>1120003</v>
      </c>
      <c r="B681" s="54">
        <v>104322</v>
      </c>
      <c r="C681" s="54" t="s">
        <v>199</v>
      </c>
      <c r="D681" s="51">
        <v>22781.279999999741</v>
      </c>
      <c r="E681" s="52">
        <v>-0.58104186716095674</v>
      </c>
      <c r="F681" s="51">
        <v>22781.279999999741</v>
      </c>
      <c r="G681" s="52">
        <v>-0.45644827756515255</v>
      </c>
      <c r="H681" s="53">
        <v>1310</v>
      </c>
      <c r="I681" s="52">
        <v>-0.61606096131301291</v>
      </c>
      <c r="J681" s="53">
        <v>1310</v>
      </c>
      <c r="K681" s="52">
        <v>-0.5128300483451097</v>
      </c>
      <c r="L681" s="53">
        <v>895</v>
      </c>
      <c r="M681" s="52">
        <v>-0.61947278911564629</v>
      </c>
      <c r="N681" s="53">
        <v>895</v>
      </c>
      <c r="O681" s="52">
        <v>-0.51437873033098214</v>
      </c>
      <c r="P681" s="51">
        <f t="shared" si="20"/>
        <v>1.4636871508379887</v>
      </c>
      <c r="Q681" s="50">
        <f t="shared" si="21"/>
        <v>25.453944134077922</v>
      </c>
      <c r="R681" s="39" t="s">
        <v>51</v>
      </c>
    </row>
    <row r="682" spans="1:18" x14ac:dyDescent="0.35">
      <c r="A682" s="54">
        <v>1230126</v>
      </c>
      <c r="B682" s="54">
        <v>108356</v>
      </c>
      <c r="C682" s="54" t="s">
        <v>198</v>
      </c>
      <c r="D682" s="51">
        <v>22772.339999999924</v>
      </c>
      <c r="E682" s="52"/>
      <c r="F682" s="51">
        <v>22772.339999999924</v>
      </c>
      <c r="G682" s="52"/>
      <c r="H682" s="53">
        <v>1354</v>
      </c>
      <c r="I682" s="52" t="s">
        <v>52</v>
      </c>
      <c r="J682" s="53">
        <v>1354</v>
      </c>
      <c r="K682" s="52"/>
      <c r="L682" s="53">
        <v>953</v>
      </c>
      <c r="M682" s="52" t="s">
        <v>52</v>
      </c>
      <c r="N682" s="53">
        <v>953</v>
      </c>
      <c r="O682" s="52"/>
      <c r="P682" s="51">
        <f t="shared" si="20"/>
        <v>1.4207764952780693</v>
      </c>
      <c r="Q682" s="50">
        <f t="shared" si="21"/>
        <v>23.895424973766971</v>
      </c>
      <c r="R682" s="39" t="s">
        <v>51</v>
      </c>
    </row>
    <row r="683" spans="1:18" x14ac:dyDescent="0.35">
      <c r="A683" s="54">
        <v>1240201</v>
      </c>
      <c r="B683" s="54">
        <v>104802</v>
      </c>
      <c r="C683" s="54" t="s">
        <v>197</v>
      </c>
      <c r="D683" s="51">
        <v>22740.419999999904</v>
      </c>
      <c r="E683" s="52">
        <v>-1.2351030193531641E-2</v>
      </c>
      <c r="F683" s="51">
        <v>22740.419999999904</v>
      </c>
      <c r="G683" s="52">
        <v>-1.2351030193531641E-2</v>
      </c>
      <c r="H683" s="53">
        <v>1503</v>
      </c>
      <c r="I683" s="52">
        <v>-6.0624999999999998E-2</v>
      </c>
      <c r="J683" s="53">
        <v>1503</v>
      </c>
      <c r="K683" s="52">
        <v>-6.0624999999999998E-2</v>
      </c>
      <c r="L683" s="53">
        <v>1058</v>
      </c>
      <c r="M683" s="52">
        <v>-3.0247479376718608E-2</v>
      </c>
      <c r="N683" s="53">
        <v>1058</v>
      </c>
      <c r="O683" s="52">
        <v>-3.0247479376718608E-2</v>
      </c>
      <c r="P683" s="51">
        <f t="shared" si="20"/>
        <v>1.4206049149338373</v>
      </c>
      <c r="Q683" s="50">
        <f t="shared" si="21"/>
        <v>21.493780718336392</v>
      </c>
      <c r="R683" s="39" t="s">
        <v>51</v>
      </c>
    </row>
    <row r="684" spans="1:18" x14ac:dyDescent="0.35">
      <c r="A684" s="54">
        <v>1210033</v>
      </c>
      <c r="B684" s="54">
        <v>104169</v>
      </c>
      <c r="C684" s="54" t="s">
        <v>196</v>
      </c>
      <c r="D684" s="51">
        <v>22685.719999999914</v>
      </c>
      <c r="E684" s="52">
        <v>-9.0317005539728878E-2</v>
      </c>
      <c r="F684" s="51">
        <v>22685.719999999914</v>
      </c>
      <c r="G684" s="52">
        <v>-9.0317005539728878E-2</v>
      </c>
      <c r="H684" s="53">
        <v>1477</v>
      </c>
      <c r="I684" s="52">
        <v>-0.19771863117870722</v>
      </c>
      <c r="J684" s="53">
        <v>1477</v>
      </c>
      <c r="K684" s="52">
        <v>-0.19771863117870722</v>
      </c>
      <c r="L684" s="53">
        <v>948</v>
      </c>
      <c r="M684" s="52">
        <v>-0.20134793597304129</v>
      </c>
      <c r="N684" s="53">
        <v>948</v>
      </c>
      <c r="O684" s="52">
        <v>-0.20134793597304129</v>
      </c>
      <c r="P684" s="51">
        <f t="shared" si="20"/>
        <v>1.5580168776371308</v>
      </c>
      <c r="Q684" s="50">
        <f t="shared" si="21"/>
        <v>23.930084388185563</v>
      </c>
      <c r="R684" s="39" t="s">
        <v>54</v>
      </c>
    </row>
    <row r="685" spans="1:18" x14ac:dyDescent="0.35">
      <c r="A685" s="54">
        <v>1160033</v>
      </c>
      <c r="B685" s="54">
        <v>107774</v>
      </c>
      <c r="C685" s="54" t="s">
        <v>195</v>
      </c>
      <c r="D685" s="51">
        <v>22518.869999999944</v>
      </c>
      <c r="E685" s="52"/>
      <c r="F685" s="51"/>
      <c r="G685" s="52"/>
      <c r="H685" s="53">
        <v>1065</v>
      </c>
      <c r="I685" s="52" t="s">
        <v>52</v>
      </c>
      <c r="J685" s="53"/>
      <c r="K685" s="52"/>
      <c r="L685" s="53">
        <v>677</v>
      </c>
      <c r="M685" s="52" t="s">
        <v>52</v>
      </c>
      <c r="N685" s="53"/>
      <c r="O685" s="52"/>
      <c r="P685" s="51">
        <f t="shared" si="20"/>
        <v>1.5731166912850811</v>
      </c>
      <c r="Q685" s="50">
        <f t="shared" si="21"/>
        <v>33.262732644017646</v>
      </c>
      <c r="R685" s="39" t="s">
        <v>54</v>
      </c>
    </row>
    <row r="686" spans="1:18" x14ac:dyDescent="0.35">
      <c r="A686" s="54">
        <v>1190027</v>
      </c>
      <c r="B686" s="54">
        <v>106872</v>
      </c>
      <c r="C686" s="54" t="s">
        <v>194</v>
      </c>
      <c r="D686" s="51">
        <v>22513.970000000059</v>
      </c>
      <c r="E686" s="52">
        <v>6.465038242156676E-2</v>
      </c>
      <c r="F686" s="51">
        <v>22513.970000000059</v>
      </c>
      <c r="G686" s="52">
        <v>6.465038242156676E-2</v>
      </c>
      <c r="H686" s="53">
        <v>1160</v>
      </c>
      <c r="I686" s="52">
        <v>-9.3041438623924944E-2</v>
      </c>
      <c r="J686" s="53">
        <v>1160</v>
      </c>
      <c r="K686" s="52">
        <v>-9.3041438623924944E-2</v>
      </c>
      <c r="L686" s="53">
        <v>869</v>
      </c>
      <c r="M686" s="52">
        <v>-0.11416921508664628</v>
      </c>
      <c r="N686" s="53">
        <v>869</v>
      </c>
      <c r="O686" s="52">
        <v>-0.11416921508664628</v>
      </c>
      <c r="P686" s="51">
        <f t="shared" si="20"/>
        <v>1.334867663981588</v>
      </c>
      <c r="Q686" s="50">
        <f t="shared" si="21"/>
        <v>25.907905638665202</v>
      </c>
      <c r="R686" s="39" t="s">
        <v>51</v>
      </c>
    </row>
    <row r="687" spans="1:18" x14ac:dyDescent="0.35">
      <c r="A687" s="54">
        <v>1240216</v>
      </c>
      <c r="B687" s="54">
        <v>103346</v>
      </c>
      <c r="C687" s="54" t="s">
        <v>193</v>
      </c>
      <c r="D687" s="51">
        <v>22470.219999999877</v>
      </c>
      <c r="E687" s="52">
        <v>-0.25621502887724418</v>
      </c>
      <c r="F687" s="51">
        <v>22470.219999999877</v>
      </c>
      <c r="G687" s="52">
        <v>-0.25621502887724418</v>
      </c>
      <c r="H687" s="53">
        <v>1517</v>
      </c>
      <c r="I687" s="52">
        <v>-0.26785714285714285</v>
      </c>
      <c r="J687" s="53">
        <v>1517</v>
      </c>
      <c r="K687" s="52">
        <v>-0.26785714285714285</v>
      </c>
      <c r="L687" s="53">
        <v>1016</v>
      </c>
      <c r="M687" s="52">
        <v>-0.29444444444444445</v>
      </c>
      <c r="N687" s="53">
        <v>1016</v>
      </c>
      <c r="O687" s="52">
        <v>-0.29444444444444445</v>
      </c>
      <c r="P687" s="51">
        <f t="shared" si="20"/>
        <v>1.4931102362204725</v>
      </c>
      <c r="Q687" s="50">
        <f t="shared" si="21"/>
        <v>22.116358267716414</v>
      </c>
      <c r="R687" s="39" t="s">
        <v>51</v>
      </c>
    </row>
    <row r="688" spans="1:18" x14ac:dyDescent="0.35">
      <c r="A688" s="54">
        <v>1180005</v>
      </c>
      <c r="B688" s="54">
        <v>104653</v>
      </c>
      <c r="C688" s="54" t="s">
        <v>192</v>
      </c>
      <c r="D688" s="51">
        <v>22406.339999999902</v>
      </c>
      <c r="E688" s="52">
        <v>-0.10365855853873861</v>
      </c>
      <c r="F688" s="51">
        <v>22406.339999999902</v>
      </c>
      <c r="G688" s="52">
        <v>-0.10365855853873861</v>
      </c>
      <c r="H688" s="53">
        <v>1350</v>
      </c>
      <c r="I688" s="52">
        <v>-8.1632653061224483E-2</v>
      </c>
      <c r="J688" s="53">
        <v>1350</v>
      </c>
      <c r="K688" s="52">
        <v>-8.1632653061224483E-2</v>
      </c>
      <c r="L688" s="53">
        <v>840</v>
      </c>
      <c r="M688" s="52">
        <v>-4.8697621744054363E-2</v>
      </c>
      <c r="N688" s="53">
        <v>840</v>
      </c>
      <c r="O688" s="52">
        <v>-4.8697621744054363E-2</v>
      </c>
      <c r="P688" s="51">
        <f t="shared" si="20"/>
        <v>1.6071428571428572</v>
      </c>
      <c r="Q688" s="50">
        <f t="shared" si="21"/>
        <v>26.674214285714168</v>
      </c>
      <c r="R688" s="39" t="s">
        <v>54</v>
      </c>
    </row>
    <row r="689" spans="1:18" x14ac:dyDescent="0.35">
      <c r="A689" s="54">
        <v>1210068</v>
      </c>
      <c r="B689" s="54">
        <v>106017</v>
      </c>
      <c r="C689" s="54" t="s">
        <v>191</v>
      </c>
      <c r="D689" s="51">
        <v>22395.179999999851</v>
      </c>
      <c r="E689" s="52">
        <v>9.2443541683735905E-2</v>
      </c>
      <c r="F689" s="51">
        <v>22395.179999999851</v>
      </c>
      <c r="G689" s="52">
        <v>9.2443541683735905E-2</v>
      </c>
      <c r="H689" s="53">
        <v>1234</v>
      </c>
      <c r="I689" s="52">
        <v>1.1475409836065573E-2</v>
      </c>
      <c r="J689" s="53">
        <v>1234</v>
      </c>
      <c r="K689" s="52">
        <v>1.1475409836065573E-2</v>
      </c>
      <c r="L689" s="53">
        <v>938</v>
      </c>
      <c r="M689" s="52">
        <v>7.5187969924812026E-3</v>
      </c>
      <c r="N689" s="53">
        <v>938</v>
      </c>
      <c r="O689" s="52">
        <v>7.5187969924812026E-3</v>
      </c>
      <c r="P689" s="51">
        <f t="shared" si="20"/>
        <v>1.3155650319829424</v>
      </c>
      <c r="Q689" s="50">
        <f t="shared" si="21"/>
        <v>23.875458422174681</v>
      </c>
      <c r="R689" s="39" t="s">
        <v>51</v>
      </c>
    </row>
    <row r="690" spans="1:18" x14ac:dyDescent="0.35">
      <c r="A690" s="54">
        <v>1210070</v>
      </c>
      <c r="B690" s="54">
        <v>106355</v>
      </c>
      <c r="C690" s="54" t="s">
        <v>190</v>
      </c>
      <c r="D690" s="51">
        <v>22358.729999999869</v>
      </c>
      <c r="E690" s="52">
        <v>-3.1475792450286047E-2</v>
      </c>
      <c r="F690" s="51">
        <v>22358.729999999869</v>
      </c>
      <c r="G690" s="52">
        <v>-3.1475792450286047E-2</v>
      </c>
      <c r="H690" s="53">
        <v>1525</v>
      </c>
      <c r="I690" s="52">
        <v>-0.17789757412398921</v>
      </c>
      <c r="J690" s="53">
        <v>1525</v>
      </c>
      <c r="K690" s="52">
        <v>-0.17789757412398921</v>
      </c>
      <c r="L690" s="53">
        <v>1102</v>
      </c>
      <c r="M690" s="52">
        <v>-0.13364779874213836</v>
      </c>
      <c r="N690" s="53">
        <v>1102</v>
      </c>
      <c r="O690" s="52">
        <v>-0.13364779874213836</v>
      </c>
      <c r="P690" s="51">
        <f t="shared" si="20"/>
        <v>1.383847549909256</v>
      </c>
      <c r="Q690" s="50">
        <f t="shared" si="21"/>
        <v>20.289228675135998</v>
      </c>
      <c r="R690" s="39" t="s">
        <v>51</v>
      </c>
    </row>
    <row r="691" spans="1:18" x14ac:dyDescent="0.35">
      <c r="A691" s="54">
        <v>1230112</v>
      </c>
      <c r="B691" s="54">
        <v>106812</v>
      </c>
      <c r="C691" s="54" t="s">
        <v>189</v>
      </c>
      <c r="D691" s="51">
        <v>22005.079999999885</v>
      </c>
      <c r="E691" s="52">
        <v>-2.9114116730902227E-2</v>
      </c>
      <c r="F691" s="51">
        <v>22005.079999999885</v>
      </c>
      <c r="G691" s="52">
        <v>-2.9114116730902227E-2</v>
      </c>
      <c r="H691" s="53">
        <v>1327</v>
      </c>
      <c r="I691" s="52">
        <v>-0.10999329309188464</v>
      </c>
      <c r="J691" s="53">
        <v>1327</v>
      </c>
      <c r="K691" s="52">
        <v>-0.10999329309188464</v>
      </c>
      <c r="L691" s="53">
        <v>1053</v>
      </c>
      <c r="M691" s="52">
        <v>-2.859778597785978E-2</v>
      </c>
      <c r="N691" s="53">
        <v>1053</v>
      </c>
      <c r="O691" s="52">
        <v>-2.859778597785978E-2</v>
      </c>
      <c r="P691" s="51">
        <f t="shared" si="20"/>
        <v>1.2602089268755936</v>
      </c>
      <c r="Q691" s="50">
        <f t="shared" si="21"/>
        <v>20.897511870845094</v>
      </c>
      <c r="R691" s="39" t="s">
        <v>51</v>
      </c>
    </row>
    <row r="692" spans="1:18" x14ac:dyDescent="0.35">
      <c r="A692" s="54">
        <v>1190023</v>
      </c>
      <c r="B692" s="54">
        <v>106531</v>
      </c>
      <c r="C692" s="54" t="s">
        <v>188</v>
      </c>
      <c r="D692" s="51">
        <v>21918.419999999853</v>
      </c>
      <c r="E692" s="52">
        <v>0.1798769114495542</v>
      </c>
      <c r="F692" s="51">
        <v>21918.419999999853</v>
      </c>
      <c r="G692" s="52">
        <v>0.1798769114495542</v>
      </c>
      <c r="H692" s="53">
        <v>1218</v>
      </c>
      <c r="I692" s="52">
        <v>0.15450236966824646</v>
      </c>
      <c r="J692" s="53">
        <v>1218</v>
      </c>
      <c r="K692" s="52">
        <v>0.15450236966824646</v>
      </c>
      <c r="L692" s="53">
        <v>911</v>
      </c>
      <c r="M692" s="52">
        <v>0.15462610899873258</v>
      </c>
      <c r="N692" s="53">
        <v>911</v>
      </c>
      <c r="O692" s="52">
        <v>0.15462610899873258</v>
      </c>
      <c r="P692" s="51">
        <f t="shared" si="20"/>
        <v>1.3369923161361141</v>
      </c>
      <c r="Q692" s="50">
        <f t="shared" si="21"/>
        <v>24.059736553238039</v>
      </c>
      <c r="R692" s="39" t="s">
        <v>51</v>
      </c>
    </row>
    <row r="693" spans="1:18" x14ac:dyDescent="0.35">
      <c r="A693" s="54">
        <v>1210035</v>
      </c>
      <c r="B693" s="54">
        <v>104216</v>
      </c>
      <c r="C693" s="54" t="s">
        <v>187</v>
      </c>
      <c r="D693" s="51">
        <v>21869.909999999796</v>
      </c>
      <c r="E693" s="52">
        <v>-0.45895419646203711</v>
      </c>
      <c r="F693" s="51">
        <v>21869.909999999796</v>
      </c>
      <c r="G693" s="52">
        <v>-0.45895419646203711</v>
      </c>
      <c r="H693" s="53">
        <v>1396</v>
      </c>
      <c r="I693" s="52">
        <v>-0.44204636290967225</v>
      </c>
      <c r="J693" s="53">
        <v>1396</v>
      </c>
      <c r="K693" s="52">
        <v>-0.44204636290967225</v>
      </c>
      <c r="L693" s="53">
        <v>996</v>
      </c>
      <c r="M693" s="52">
        <v>-0.44139091418956816</v>
      </c>
      <c r="N693" s="53">
        <v>996</v>
      </c>
      <c r="O693" s="52">
        <v>-0.44139091418956816</v>
      </c>
      <c r="P693" s="51">
        <f t="shared" si="20"/>
        <v>1.4016064257028114</v>
      </c>
      <c r="Q693" s="50">
        <f t="shared" si="21"/>
        <v>21.957740963855215</v>
      </c>
      <c r="R693" s="39" t="s">
        <v>51</v>
      </c>
    </row>
    <row r="694" spans="1:18" x14ac:dyDescent="0.35">
      <c r="A694" s="54">
        <v>1230046</v>
      </c>
      <c r="B694" s="54">
        <v>105247</v>
      </c>
      <c r="C694" s="54" t="s">
        <v>186</v>
      </c>
      <c r="D694" s="51">
        <v>21777.369999999781</v>
      </c>
      <c r="E694" s="52">
        <v>-0.14110257412435198</v>
      </c>
      <c r="F694" s="51">
        <v>21777.369999999781</v>
      </c>
      <c r="G694" s="52">
        <v>-0.14110257412435198</v>
      </c>
      <c r="H694" s="53">
        <v>1461</v>
      </c>
      <c r="I694" s="52">
        <v>-0.22369819341126462</v>
      </c>
      <c r="J694" s="53">
        <v>1461</v>
      </c>
      <c r="K694" s="52">
        <v>-0.22369819341126462</v>
      </c>
      <c r="L694" s="53">
        <v>1240</v>
      </c>
      <c r="M694" s="52">
        <v>-0.20359666024405909</v>
      </c>
      <c r="N694" s="53">
        <v>1240</v>
      </c>
      <c r="O694" s="52">
        <v>-0.20359666024405909</v>
      </c>
      <c r="P694" s="51">
        <f t="shared" si="20"/>
        <v>1.1782258064516129</v>
      </c>
      <c r="Q694" s="50">
        <f t="shared" si="21"/>
        <v>17.562395161290144</v>
      </c>
      <c r="R694" s="39" t="s">
        <v>51</v>
      </c>
    </row>
    <row r="695" spans="1:18" x14ac:dyDescent="0.35">
      <c r="A695" s="54">
        <v>1160015</v>
      </c>
      <c r="B695" s="54">
        <v>104854</v>
      </c>
      <c r="C695" s="54" t="s">
        <v>185</v>
      </c>
      <c r="D695" s="51">
        <v>21331.759999999966</v>
      </c>
      <c r="E695" s="52">
        <v>-0.12240260007405389</v>
      </c>
      <c r="F695" s="51">
        <v>21331.759999999966</v>
      </c>
      <c r="G695" s="52">
        <v>-0.12240260007405389</v>
      </c>
      <c r="H695" s="53">
        <v>1001</v>
      </c>
      <c r="I695" s="52">
        <v>-0.19274193548387097</v>
      </c>
      <c r="J695" s="53">
        <v>1001</v>
      </c>
      <c r="K695" s="52">
        <v>-0.19274193548387097</v>
      </c>
      <c r="L695" s="53">
        <v>659</v>
      </c>
      <c r="M695" s="52">
        <v>-0.21733966745843231</v>
      </c>
      <c r="N695" s="53">
        <v>659</v>
      </c>
      <c r="O695" s="52">
        <v>-0.21733966745843231</v>
      </c>
      <c r="P695" s="51">
        <f t="shared" si="20"/>
        <v>1.5189681335356602</v>
      </c>
      <c r="Q695" s="50">
        <f t="shared" si="21"/>
        <v>32.369893778452145</v>
      </c>
      <c r="R695" s="39" t="s">
        <v>54</v>
      </c>
    </row>
    <row r="696" spans="1:18" x14ac:dyDescent="0.35">
      <c r="A696" s="54">
        <v>1210089</v>
      </c>
      <c r="B696" s="54">
        <v>107522</v>
      </c>
      <c r="C696" s="54" t="s">
        <v>184</v>
      </c>
      <c r="D696" s="51">
        <v>21059.769999999789</v>
      </c>
      <c r="E696" s="52"/>
      <c r="F696" s="51"/>
      <c r="G696" s="52"/>
      <c r="H696" s="53">
        <v>1237</v>
      </c>
      <c r="I696" s="52" t="s">
        <v>52</v>
      </c>
      <c r="J696" s="53"/>
      <c r="K696" s="52"/>
      <c r="L696" s="53">
        <v>907</v>
      </c>
      <c r="M696" s="52" t="s">
        <v>52</v>
      </c>
      <c r="N696" s="53"/>
      <c r="O696" s="52"/>
      <c r="P696" s="51">
        <f t="shared" si="20"/>
        <v>1.3638368246968027</v>
      </c>
      <c r="Q696" s="50">
        <f t="shared" si="21"/>
        <v>23.219151047408808</v>
      </c>
      <c r="R696" s="39" t="s">
        <v>51</v>
      </c>
    </row>
    <row r="697" spans="1:18" x14ac:dyDescent="0.35">
      <c r="A697" s="54">
        <v>1040001</v>
      </c>
      <c r="B697" s="54">
        <v>100968</v>
      </c>
      <c r="C697" s="54" t="s">
        <v>183</v>
      </c>
      <c r="D697" s="51">
        <v>20765.589999999946</v>
      </c>
      <c r="E697" s="52">
        <v>-0.59925395615713917</v>
      </c>
      <c r="F697" s="51">
        <v>20765.589999999946</v>
      </c>
      <c r="G697" s="52">
        <v>-0.59925395615713917</v>
      </c>
      <c r="H697" s="53">
        <v>1118</v>
      </c>
      <c r="I697" s="52">
        <v>-0.63642276422764232</v>
      </c>
      <c r="J697" s="53">
        <v>1118</v>
      </c>
      <c r="K697" s="52">
        <v>-0.63642276422764232</v>
      </c>
      <c r="L697" s="53">
        <v>652</v>
      </c>
      <c r="M697" s="52">
        <v>-0.65170940170940173</v>
      </c>
      <c r="N697" s="53">
        <v>652</v>
      </c>
      <c r="O697" s="52">
        <v>-0.65170940170940173</v>
      </c>
      <c r="P697" s="51">
        <f t="shared" si="20"/>
        <v>1.7147239263803682</v>
      </c>
      <c r="Q697" s="50">
        <f t="shared" si="21"/>
        <v>31.849064417177832</v>
      </c>
      <c r="R697" s="39" t="s">
        <v>54</v>
      </c>
    </row>
    <row r="698" spans="1:18" x14ac:dyDescent="0.35">
      <c r="A698" s="54">
        <v>1250026</v>
      </c>
      <c r="B698" s="54">
        <v>104451</v>
      </c>
      <c r="C698" s="54" t="s">
        <v>182</v>
      </c>
      <c r="D698" s="51">
        <v>20271.169999999885</v>
      </c>
      <c r="E698" s="52">
        <v>-0.15243782359264788</v>
      </c>
      <c r="F698" s="51">
        <v>20271.169999999885</v>
      </c>
      <c r="G698" s="52">
        <v>-0.15243782359264788</v>
      </c>
      <c r="H698" s="53">
        <v>1233</v>
      </c>
      <c r="I698" s="52">
        <v>-0.14612188365650969</v>
      </c>
      <c r="J698" s="53">
        <v>1233</v>
      </c>
      <c r="K698" s="52">
        <v>-0.14612188365650969</v>
      </c>
      <c r="L698" s="53">
        <v>885</v>
      </c>
      <c r="M698" s="52">
        <v>-6.9400630914826497E-2</v>
      </c>
      <c r="N698" s="53">
        <v>885</v>
      </c>
      <c r="O698" s="52">
        <v>-6.9400630914826497E-2</v>
      </c>
      <c r="P698" s="51">
        <f t="shared" si="20"/>
        <v>1.3932203389830509</v>
      </c>
      <c r="Q698" s="50">
        <f t="shared" si="21"/>
        <v>22.905276836158063</v>
      </c>
      <c r="R698" s="39" t="s">
        <v>51</v>
      </c>
    </row>
    <row r="699" spans="1:18" x14ac:dyDescent="0.35">
      <c r="A699" s="54">
        <v>1210037</v>
      </c>
      <c r="B699" s="54">
        <v>104323</v>
      </c>
      <c r="C699" s="54" t="s">
        <v>181</v>
      </c>
      <c r="D699" s="51">
        <v>20270.829999999893</v>
      </c>
      <c r="E699" s="52">
        <v>0.1705915778604897</v>
      </c>
      <c r="F699" s="51">
        <v>20270.829999999893</v>
      </c>
      <c r="G699" s="52">
        <v>0.1705915778604897</v>
      </c>
      <c r="H699" s="53">
        <v>1313</v>
      </c>
      <c r="I699" s="52">
        <v>6.2297734627831718E-2</v>
      </c>
      <c r="J699" s="53">
        <v>1313</v>
      </c>
      <c r="K699" s="52">
        <v>6.2297734627831718E-2</v>
      </c>
      <c r="L699" s="53">
        <v>1011</v>
      </c>
      <c r="M699" s="52">
        <v>3.9054470709146971E-2</v>
      </c>
      <c r="N699" s="53">
        <v>1011</v>
      </c>
      <c r="O699" s="52">
        <v>3.9054470709146971E-2</v>
      </c>
      <c r="P699" s="51">
        <f t="shared" si="20"/>
        <v>1.2987141444114738</v>
      </c>
      <c r="Q699" s="50">
        <f t="shared" si="21"/>
        <v>20.050276953511268</v>
      </c>
      <c r="R699" s="39" t="s">
        <v>51</v>
      </c>
    </row>
    <row r="700" spans="1:18" x14ac:dyDescent="0.35">
      <c r="A700" s="54">
        <v>1150001</v>
      </c>
      <c r="B700" s="54">
        <v>100397</v>
      </c>
      <c r="C700" s="54" t="s">
        <v>180</v>
      </c>
      <c r="D700" s="51">
        <v>19949.379999999685</v>
      </c>
      <c r="E700" s="52">
        <v>-0.90525489765477751</v>
      </c>
      <c r="F700" s="51">
        <v>19949.379999999685</v>
      </c>
      <c r="G700" s="52">
        <v>-0.90525489765477751</v>
      </c>
      <c r="H700" s="53">
        <v>1249</v>
      </c>
      <c r="I700" s="52">
        <v>-0.91647719673665906</v>
      </c>
      <c r="J700" s="53">
        <v>1249</v>
      </c>
      <c r="K700" s="52">
        <v>-0.91647719673665906</v>
      </c>
      <c r="L700" s="53">
        <v>714</v>
      </c>
      <c r="M700" s="52">
        <v>-0.92239130434782612</v>
      </c>
      <c r="N700" s="53">
        <v>714</v>
      </c>
      <c r="O700" s="52">
        <v>-0.92239130434782612</v>
      </c>
      <c r="P700" s="51">
        <f t="shared" si="20"/>
        <v>1.7492997198879552</v>
      </c>
      <c r="Q700" s="50">
        <f t="shared" si="21"/>
        <v>27.940308123248858</v>
      </c>
      <c r="R700" s="39" t="s">
        <v>54</v>
      </c>
    </row>
    <row r="701" spans="1:18" x14ac:dyDescent="0.35">
      <c r="A701" s="54">
        <v>1240396</v>
      </c>
      <c r="B701" s="54">
        <v>107006</v>
      </c>
      <c r="C701" s="54" t="s">
        <v>179</v>
      </c>
      <c r="D701" s="51">
        <v>19780.069999999898</v>
      </c>
      <c r="E701" s="52">
        <v>4.444855208103915</v>
      </c>
      <c r="F701" s="51">
        <v>3594.6900000000128</v>
      </c>
      <c r="G701" s="52">
        <v>-1.0490530720101861E-2</v>
      </c>
      <c r="H701" s="53">
        <v>1333</v>
      </c>
      <c r="I701" s="52">
        <v>5.2877358490566042</v>
      </c>
      <c r="J701" s="53">
        <v>250</v>
      </c>
      <c r="K701" s="52">
        <v>0.17924528301886791</v>
      </c>
      <c r="L701" s="53">
        <v>1012</v>
      </c>
      <c r="M701" s="52">
        <v>6.0769230769230766</v>
      </c>
      <c r="N701" s="53">
        <v>188</v>
      </c>
      <c r="O701" s="52">
        <v>0.31468531468531469</v>
      </c>
      <c r="P701" s="51">
        <f t="shared" si="20"/>
        <v>1.3171936758893281</v>
      </c>
      <c r="Q701" s="50">
        <f t="shared" si="21"/>
        <v>19.54552371541492</v>
      </c>
      <c r="R701" s="39" t="s">
        <v>51</v>
      </c>
    </row>
    <row r="702" spans="1:18" x14ac:dyDescent="0.35">
      <c r="A702" s="54">
        <v>1210093</v>
      </c>
      <c r="B702" s="54">
        <v>107852</v>
      </c>
      <c r="C702" s="54" t="s">
        <v>178</v>
      </c>
      <c r="D702" s="51">
        <v>19624.929999999884</v>
      </c>
      <c r="E702" s="52"/>
      <c r="F702" s="51"/>
      <c r="G702" s="52"/>
      <c r="H702" s="53">
        <v>1030</v>
      </c>
      <c r="I702" s="52" t="s">
        <v>52</v>
      </c>
      <c r="J702" s="53"/>
      <c r="K702" s="52"/>
      <c r="L702" s="53">
        <v>758</v>
      </c>
      <c r="M702" s="52" t="s">
        <v>52</v>
      </c>
      <c r="N702" s="53"/>
      <c r="O702" s="52"/>
      <c r="P702" s="51">
        <f t="shared" si="20"/>
        <v>1.3588390501319261</v>
      </c>
      <c r="Q702" s="50">
        <f t="shared" si="21"/>
        <v>25.8904089709761</v>
      </c>
      <c r="R702" s="39" t="s">
        <v>51</v>
      </c>
    </row>
    <row r="703" spans="1:18" x14ac:dyDescent="0.35">
      <c r="A703" s="54">
        <v>1240286</v>
      </c>
      <c r="B703" s="54">
        <v>105021</v>
      </c>
      <c r="C703" s="54" t="s">
        <v>177</v>
      </c>
      <c r="D703" s="51">
        <v>19582.439999999959</v>
      </c>
      <c r="E703" s="52">
        <v>-1.8098728450882798E-2</v>
      </c>
      <c r="F703" s="51">
        <v>19582.439999999959</v>
      </c>
      <c r="G703" s="52">
        <v>-1.8098728450882798E-2</v>
      </c>
      <c r="H703" s="53">
        <v>1277</v>
      </c>
      <c r="I703" s="52">
        <v>-4.3445692883895132E-2</v>
      </c>
      <c r="J703" s="53">
        <v>1277</v>
      </c>
      <c r="K703" s="52">
        <v>-4.3445692883895132E-2</v>
      </c>
      <c r="L703" s="53">
        <v>851</v>
      </c>
      <c r="M703" s="52">
        <v>-8.1585081585081581E-3</v>
      </c>
      <c r="N703" s="53">
        <v>851</v>
      </c>
      <c r="O703" s="52">
        <v>-8.1585081585081581E-3</v>
      </c>
      <c r="P703" s="51">
        <f t="shared" si="20"/>
        <v>1.500587544065805</v>
      </c>
      <c r="Q703" s="50">
        <f t="shared" si="21"/>
        <v>23.011092831962348</v>
      </c>
      <c r="R703" s="39" t="s">
        <v>54</v>
      </c>
    </row>
    <row r="704" spans="1:18" x14ac:dyDescent="0.35">
      <c r="A704" s="54">
        <v>1210043</v>
      </c>
      <c r="B704" s="54">
        <v>104677</v>
      </c>
      <c r="C704" s="54" t="s">
        <v>176</v>
      </c>
      <c r="D704" s="51">
        <v>19096.029999999966</v>
      </c>
      <c r="E704" s="52">
        <v>-2.202839677643121E-2</v>
      </c>
      <c r="F704" s="51">
        <v>19096.029999999966</v>
      </c>
      <c r="G704" s="52">
        <v>-2.202839677643121E-2</v>
      </c>
      <c r="H704" s="53">
        <v>1235</v>
      </c>
      <c r="I704" s="52">
        <v>-0.14176511466296038</v>
      </c>
      <c r="J704" s="53">
        <v>1235</v>
      </c>
      <c r="K704" s="52">
        <v>-0.14176511466296038</v>
      </c>
      <c r="L704" s="53">
        <v>872</v>
      </c>
      <c r="M704" s="52">
        <v>-0.13233830845771144</v>
      </c>
      <c r="N704" s="53">
        <v>872</v>
      </c>
      <c r="O704" s="52">
        <v>-0.13233830845771144</v>
      </c>
      <c r="P704" s="51">
        <f t="shared" si="20"/>
        <v>1.4162844036697249</v>
      </c>
      <c r="Q704" s="50">
        <f t="shared" si="21"/>
        <v>21.899116972477024</v>
      </c>
      <c r="R704" s="39" t="s">
        <v>51</v>
      </c>
    </row>
    <row r="705" spans="1:18" x14ac:dyDescent="0.35">
      <c r="A705" s="54">
        <v>1230106</v>
      </c>
      <c r="B705" s="54">
        <v>106528</v>
      </c>
      <c r="C705" s="54" t="s">
        <v>175</v>
      </c>
      <c r="D705" s="51">
        <v>19049.579999999933</v>
      </c>
      <c r="E705" s="52">
        <v>7.4554275776753845E-2</v>
      </c>
      <c r="F705" s="51">
        <v>19049.579999999933</v>
      </c>
      <c r="G705" s="52">
        <v>7.4554275776753845E-2</v>
      </c>
      <c r="H705" s="53">
        <v>1067</v>
      </c>
      <c r="I705" s="52">
        <v>-5.5917986952469714E-3</v>
      </c>
      <c r="J705" s="53">
        <v>1067</v>
      </c>
      <c r="K705" s="52">
        <v>-5.5917986952469714E-3</v>
      </c>
      <c r="L705" s="53">
        <v>740</v>
      </c>
      <c r="M705" s="52">
        <v>-1.2016021361815754E-2</v>
      </c>
      <c r="N705" s="53">
        <v>740</v>
      </c>
      <c r="O705" s="52">
        <v>-1.2016021361815754E-2</v>
      </c>
      <c r="P705" s="51">
        <f t="shared" si="20"/>
        <v>1.4418918918918919</v>
      </c>
      <c r="Q705" s="50">
        <f t="shared" si="21"/>
        <v>25.742675675675585</v>
      </c>
      <c r="R705" s="39" t="s">
        <v>51</v>
      </c>
    </row>
    <row r="706" spans="1:18" x14ac:dyDescent="0.35">
      <c r="A706" s="54">
        <v>1250044</v>
      </c>
      <c r="B706" s="54">
        <v>106840</v>
      </c>
      <c r="C706" s="54" t="s">
        <v>174</v>
      </c>
      <c r="D706" s="51">
        <v>18982.729999999894</v>
      </c>
      <c r="E706" s="52">
        <v>-0.14970783809146457</v>
      </c>
      <c r="F706" s="51">
        <v>18982.729999999894</v>
      </c>
      <c r="G706" s="52">
        <v>-0.14970783809146457</v>
      </c>
      <c r="H706" s="53">
        <v>949</v>
      </c>
      <c r="I706" s="52">
        <v>-0.19644369178662149</v>
      </c>
      <c r="J706" s="53">
        <v>949</v>
      </c>
      <c r="K706" s="52">
        <v>-0.19644369178662149</v>
      </c>
      <c r="L706" s="53">
        <v>717</v>
      </c>
      <c r="M706" s="52">
        <v>-0.17963386727688788</v>
      </c>
      <c r="N706" s="53">
        <v>717</v>
      </c>
      <c r="O706" s="52">
        <v>-0.17963386727688788</v>
      </c>
      <c r="P706" s="51">
        <f t="shared" si="20"/>
        <v>1.3235704323570432</v>
      </c>
      <c r="Q706" s="50">
        <f t="shared" si="21"/>
        <v>26.475216178521471</v>
      </c>
      <c r="R706" s="39" t="s">
        <v>51</v>
      </c>
    </row>
    <row r="707" spans="1:18" x14ac:dyDescent="0.35">
      <c r="A707" s="54">
        <v>1210094</v>
      </c>
      <c r="B707" s="54">
        <v>105710</v>
      </c>
      <c r="C707" s="54" t="s">
        <v>173</v>
      </c>
      <c r="D707" s="51">
        <v>18839.759999999889</v>
      </c>
      <c r="E707" s="52"/>
      <c r="F707" s="51"/>
      <c r="G707" s="52"/>
      <c r="H707" s="53">
        <v>1020</v>
      </c>
      <c r="I707" s="52" t="s">
        <v>52</v>
      </c>
      <c r="J707" s="53"/>
      <c r="K707" s="52"/>
      <c r="L707" s="53">
        <v>792</v>
      </c>
      <c r="M707" s="52" t="s">
        <v>52</v>
      </c>
      <c r="N707" s="53"/>
      <c r="O707" s="52"/>
      <c r="P707" s="51">
        <f t="shared" si="20"/>
        <v>1.2878787878787878</v>
      </c>
      <c r="Q707" s="50">
        <f t="shared" si="21"/>
        <v>23.787575757575617</v>
      </c>
      <c r="R707" s="39" t="s">
        <v>51</v>
      </c>
    </row>
    <row r="708" spans="1:18" x14ac:dyDescent="0.35">
      <c r="A708" s="54">
        <v>1240224</v>
      </c>
      <c r="B708" s="54">
        <v>108275</v>
      </c>
      <c r="C708" s="54" t="s">
        <v>102</v>
      </c>
      <c r="D708" s="51">
        <v>18768.309999999958</v>
      </c>
      <c r="E708" s="52"/>
      <c r="F708" s="51">
        <v>18768.309999999958</v>
      </c>
      <c r="G708" s="52"/>
      <c r="H708" s="53">
        <v>1308</v>
      </c>
      <c r="I708" s="52" t="s">
        <v>52</v>
      </c>
      <c r="J708" s="53">
        <v>1308</v>
      </c>
      <c r="K708" s="52"/>
      <c r="L708" s="53">
        <v>896</v>
      </c>
      <c r="M708" s="52" t="s">
        <v>52</v>
      </c>
      <c r="N708" s="53">
        <v>896</v>
      </c>
      <c r="O708" s="52"/>
      <c r="P708" s="51">
        <f t="shared" si="20"/>
        <v>1.4598214285714286</v>
      </c>
      <c r="Q708" s="50">
        <f t="shared" si="21"/>
        <v>20.94677455357138</v>
      </c>
      <c r="R708" s="39" t="s">
        <v>51</v>
      </c>
    </row>
    <row r="709" spans="1:18" x14ac:dyDescent="0.35">
      <c r="A709" s="54">
        <v>1210039</v>
      </c>
      <c r="B709" s="54">
        <v>104429</v>
      </c>
      <c r="C709" s="54" t="s">
        <v>172</v>
      </c>
      <c r="D709" s="51">
        <v>18759.909999999923</v>
      </c>
      <c r="E709" s="52">
        <v>6.2446197828881445E-2</v>
      </c>
      <c r="F709" s="51">
        <v>18759.909999999923</v>
      </c>
      <c r="G709" s="52">
        <v>6.2446197828881445E-2</v>
      </c>
      <c r="H709" s="53">
        <v>983</v>
      </c>
      <c r="I709" s="52">
        <v>-5.5715658021133527E-2</v>
      </c>
      <c r="J709" s="53">
        <v>983</v>
      </c>
      <c r="K709" s="52">
        <v>-5.5715658021133527E-2</v>
      </c>
      <c r="L709" s="53">
        <v>683</v>
      </c>
      <c r="M709" s="52">
        <v>-8.8117489986648867E-2</v>
      </c>
      <c r="N709" s="53">
        <v>683</v>
      </c>
      <c r="O709" s="52">
        <v>-8.8117489986648867E-2</v>
      </c>
      <c r="P709" s="51">
        <f t="shared" ref="P709:P772" si="22">H709/L709</f>
        <v>1.439238653001464</v>
      </c>
      <c r="Q709" s="50">
        <f t="shared" ref="Q709:Q772" si="23">D709/L709</f>
        <v>27.466925329428879</v>
      </c>
      <c r="R709" s="39" t="s">
        <v>51</v>
      </c>
    </row>
    <row r="710" spans="1:18" x14ac:dyDescent="0.35">
      <c r="A710" s="54">
        <v>1240365</v>
      </c>
      <c r="B710" s="54">
        <v>106748</v>
      </c>
      <c r="C710" s="54" t="s">
        <v>171</v>
      </c>
      <c r="D710" s="51">
        <v>18689.419999999955</v>
      </c>
      <c r="E710" s="52">
        <v>0.14265887669905783</v>
      </c>
      <c r="F710" s="51">
        <v>18689.419999999955</v>
      </c>
      <c r="G710" s="52">
        <v>0.14265887669905783</v>
      </c>
      <c r="H710" s="53">
        <v>1166</v>
      </c>
      <c r="I710" s="52">
        <v>7.5645756457564578E-2</v>
      </c>
      <c r="J710" s="53">
        <v>1166</v>
      </c>
      <c r="K710" s="52">
        <v>7.5645756457564578E-2</v>
      </c>
      <c r="L710" s="53">
        <v>817</v>
      </c>
      <c r="M710" s="52">
        <v>8.9333333333333334E-2</v>
      </c>
      <c r="N710" s="53">
        <v>817</v>
      </c>
      <c r="O710" s="52">
        <v>8.9333333333333334E-2</v>
      </c>
      <c r="P710" s="51">
        <f t="shared" si="22"/>
        <v>1.4271725826193391</v>
      </c>
      <c r="Q710" s="50">
        <f t="shared" si="23"/>
        <v>22.875667074663347</v>
      </c>
      <c r="R710" s="39" t="s">
        <v>51</v>
      </c>
    </row>
    <row r="711" spans="1:18" x14ac:dyDescent="0.35">
      <c r="A711" s="54">
        <v>1170010</v>
      </c>
      <c r="B711" s="54">
        <v>105321</v>
      </c>
      <c r="C711" s="54" t="s">
        <v>170</v>
      </c>
      <c r="D711" s="51">
        <v>18554.14999999994</v>
      </c>
      <c r="E711" s="52">
        <v>-0.27993230160944865</v>
      </c>
      <c r="F711" s="51">
        <v>18554.14999999994</v>
      </c>
      <c r="G711" s="52">
        <v>-0.27993230160944865</v>
      </c>
      <c r="H711" s="53">
        <v>1003</v>
      </c>
      <c r="I711" s="52">
        <v>-0.36599241466498106</v>
      </c>
      <c r="J711" s="53">
        <v>1003</v>
      </c>
      <c r="K711" s="52">
        <v>-0.36599241466498106</v>
      </c>
      <c r="L711" s="53">
        <v>674</v>
      </c>
      <c r="M711" s="52">
        <v>-0.20705882352941177</v>
      </c>
      <c r="N711" s="53">
        <v>674</v>
      </c>
      <c r="O711" s="52">
        <v>-0.20705882352941177</v>
      </c>
      <c r="P711" s="51">
        <f t="shared" si="22"/>
        <v>1.4881305637982196</v>
      </c>
      <c r="Q711" s="50">
        <f t="shared" si="23"/>
        <v>27.528412462907923</v>
      </c>
      <c r="R711" s="39" t="s">
        <v>51</v>
      </c>
    </row>
    <row r="712" spans="1:18" x14ac:dyDescent="0.35">
      <c r="A712" s="54">
        <v>1060014</v>
      </c>
      <c r="B712" s="54">
        <v>107526</v>
      </c>
      <c r="C712" s="54" t="s">
        <v>169</v>
      </c>
      <c r="D712" s="51">
        <v>18470.870000000028</v>
      </c>
      <c r="E712" s="52"/>
      <c r="F712" s="51"/>
      <c r="G712" s="52"/>
      <c r="H712" s="53">
        <v>907</v>
      </c>
      <c r="I712" s="52" t="s">
        <v>52</v>
      </c>
      <c r="J712" s="53"/>
      <c r="K712" s="52"/>
      <c r="L712" s="53">
        <v>742</v>
      </c>
      <c r="M712" s="52" t="s">
        <v>52</v>
      </c>
      <c r="N712" s="53"/>
      <c r="O712" s="52"/>
      <c r="P712" s="51">
        <f t="shared" si="22"/>
        <v>1.2223719676549865</v>
      </c>
      <c r="Q712" s="50">
        <f t="shared" si="23"/>
        <v>24.893355795148285</v>
      </c>
      <c r="R712" s="39" t="s">
        <v>51</v>
      </c>
    </row>
    <row r="713" spans="1:18" x14ac:dyDescent="0.35">
      <c r="A713" s="54">
        <v>1170008</v>
      </c>
      <c r="B713" s="54">
        <v>104673</v>
      </c>
      <c r="C713" s="54" t="s">
        <v>168</v>
      </c>
      <c r="D713" s="51">
        <v>18388.729999999996</v>
      </c>
      <c r="E713" s="52">
        <v>-0.10780619183540095</v>
      </c>
      <c r="F713" s="51">
        <v>18388.729999999996</v>
      </c>
      <c r="G713" s="52">
        <v>-0.10780619183540095</v>
      </c>
      <c r="H713" s="53">
        <v>836</v>
      </c>
      <c r="I713" s="52">
        <v>-0.19382835101253615</v>
      </c>
      <c r="J713" s="53">
        <v>836</v>
      </c>
      <c r="K713" s="52">
        <v>-0.19382835101253615</v>
      </c>
      <c r="L713" s="53">
        <v>569</v>
      </c>
      <c r="M713" s="52">
        <v>-0.2030812324929972</v>
      </c>
      <c r="N713" s="53">
        <v>569</v>
      </c>
      <c r="O713" s="52">
        <v>-0.2030812324929972</v>
      </c>
      <c r="P713" s="51">
        <f t="shared" si="22"/>
        <v>1.4692442882249561</v>
      </c>
      <c r="Q713" s="50">
        <f t="shared" si="23"/>
        <v>32.317627416520203</v>
      </c>
      <c r="R713" s="39" t="s">
        <v>51</v>
      </c>
    </row>
    <row r="714" spans="1:18" x14ac:dyDescent="0.35">
      <c r="A714" s="54">
        <v>1100018</v>
      </c>
      <c r="B714" s="54">
        <v>106803</v>
      </c>
      <c r="C714" s="54" t="s">
        <v>167</v>
      </c>
      <c r="D714" s="51">
        <v>18280.91999999994</v>
      </c>
      <c r="E714" s="52">
        <v>-0.26423915370832207</v>
      </c>
      <c r="F714" s="51">
        <v>18280.91999999994</v>
      </c>
      <c r="G714" s="52">
        <v>-0.26423915370832207</v>
      </c>
      <c r="H714" s="53">
        <v>1097</v>
      </c>
      <c r="I714" s="52">
        <v>-0.32987171655467318</v>
      </c>
      <c r="J714" s="53">
        <v>1097</v>
      </c>
      <c r="K714" s="52">
        <v>-0.32987171655467318</v>
      </c>
      <c r="L714" s="53">
        <v>863</v>
      </c>
      <c r="M714" s="52">
        <v>-0.36730205278592376</v>
      </c>
      <c r="N714" s="53">
        <v>863</v>
      </c>
      <c r="O714" s="52">
        <v>-0.36730205278592376</v>
      </c>
      <c r="P714" s="51">
        <f t="shared" si="22"/>
        <v>1.2711471610660487</v>
      </c>
      <c r="Q714" s="50">
        <f t="shared" si="23"/>
        <v>21.182989571262965</v>
      </c>
      <c r="R714" s="39" t="s">
        <v>51</v>
      </c>
    </row>
    <row r="715" spans="1:18" x14ac:dyDescent="0.35">
      <c r="A715" s="54">
        <v>1240437</v>
      </c>
      <c r="B715" s="54">
        <v>107888</v>
      </c>
      <c r="C715" s="54" t="s">
        <v>166</v>
      </c>
      <c r="D715" s="51">
        <v>17978.769999999997</v>
      </c>
      <c r="E715" s="52"/>
      <c r="F715" s="51"/>
      <c r="G715" s="52"/>
      <c r="H715" s="53">
        <v>1274</v>
      </c>
      <c r="I715" s="52" t="s">
        <v>52</v>
      </c>
      <c r="J715" s="53"/>
      <c r="K715" s="52"/>
      <c r="L715" s="53">
        <v>903</v>
      </c>
      <c r="M715" s="52" t="s">
        <v>52</v>
      </c>
      <c r="N715" s="53"/>
      <c r="O715" s="52"/>
      <c r="P715" s="51">
        <f t="shared" si="22"/>
        <v>1.4108527131782946</v>
      </c>
      <c r="Q715" s="50">
        <f t="shared" si="23"/>
        <v>19.910044296788481</v>
      </c>
      <c r="R715" s="39" t="s">
        <v>51</v>
      </c>
    </row>
    <row r="716" spans="1:18" x14ac:dyDescent="0.35">
      <c r="A716" s="54">
        <v>1240425</v>
      </c>
      <c r="B716" s="54">
        <v>107719</v>
      </c>
      <c r="C716" s="54" t="s">
        <v>165</v>
      </c>
      <c r="D716" s="51">
        <v>17925.649999999965</v>
      </c>
      <c r="E716" s="52"/>
      <c r="F716" s="51"/>
      <c r="G716" s="52"/>
      <c r="H716" s="53">
        <v>993</v>
      </c>
      <c r="I716" s="52" t="s">
        <v>52</v>
      </c>
      <c r="J716" s="53"/>
      <c r="K716" s="52"/>
      <c r="L716" s="53">
        <v>802</v>
      </c>
      <c r="M716" s="52" t="s">
        <v>52</v>
      </c>
      <c r="N716" s="53"/>
      <c r="O716" s="52"/>
      <c r="P716" s="51">
        <f t="shared" si="22"/>
        <v>1.2381546134663342</v>
      </c>
      <c r="Q716" s="50">
        <f t="shared" si="23"/>
        <v>22.351184538653325</v>
      </c>
      <c r="R716" s="39" t="s">
        <v>51</v>
      </c>
    </row>
    <row r="717" spans="1:18" x14ac:dyDescent="0.35">
      <c r="A717" s="54">
        <v>1240314</v>
      </c>
      <c r="B717" s="54">
        <v>105520</v>
      </c>
      <c r="C717" s="54" t="s">
        <v>164</v>
      </c>
      <c r="D717" s="51">
        <v>17779.809999999987</v>
      </c>
      <c r="E717" s="52">
        <v>-3.3044875246230475E-2</v>
      </c>
      <c r="F717" s="51">
        <v>17779.809999999987</v>
      </c>
      <c r="G717" s="52">
        <v>-3.3044875246230475E-2</v>
      </c>
      <c r="H717" s="53">
        <v>1121</v>
      </c>
      <c r="I717" s="52">
        <v>-0.10748407643312102</v>
      </c>
      <c r="J717" s="53">
        <v>1121</v>
      </c>
      <c r="K717" s="52">
        <v>-0.10748407643312102</v>
      </c>
      <c r="L717" s="53">
        <v>775</v>
      </c>
      <c r="M717" s="52">
        <v>-0.11529680365296803</v>
      </c>
      <c r="N717" s="53">
        <v>775</v>
      </c>
      <c r="O717" s="52">
        <v>-0.11529680365296803</v>
      </c>
      <c r="P717" s="51">
        <f t="shared" si="22"/>
        <v>1.4464516129032259</v>
      </c>
      <c r="Q717" s="50">
        <f t="shared" si="23"/>
        <v>22.941690322580627</v>
      </c>
      <c r="R717" s="39" t="s">
        <v>51</v>
      </c>
    </row>
    <row r="718" spans="1:18" x14ac:dyDescent="0.35">
      <c r="A718" s="54">
        <v>1240269</v>
      </c>
      <c r="B718" s="54">
        <v>106781</v>
      </c>
      <c r="C718" s="54" t="s">
        <v>163</v>
      </c>
      <c r="D718" s="51">
        <v>17697.549999999996</v>
      </c>
      <c r="E718" s="52">
        <v>2.2968533871592714E-2</v>
      </c>
      <c r="F718" s="51">
        <v>17697.549999999996</v>
      </c>
      <c r="G718" s="52">
        <v>2.2968533871592714E-2</v>
      </c>
      <c r="H718" s="53">
        <v>1049</v>
      </c>
      <c r="I718" s="52">
        <v>-1.5023474178403756E-2</v>
      </c>
      <c r="J718" s="53">
        <v>1049</v>
      </c>
      <c r="K718" s="52">
        <v>-1.5023474178403756E-2</v>
      </c>
      <c r="L718" s="53">
        <v>681</v>
      </c>
      <c r="M718" s="52">
        <v>-8.7336244541484712E-3</v>
      </c>
      <c r="N718" s="53">
        <v>681</v>
      </c>
      <c r="O718" s="52">
        <v>-8.7336244541484712E-3</v>
      </c>
      <c r="P718" s="51">
        <f t="shared" si="22"/>
        <v>1.540381791483113</v>
      </c>
      <c r="Q718" s="50">
        <f t="shared" si="23"/>
        <v>25.987591776798819</v>
      </c>
      <c r="R718" s="39" t="s">
        <v>54</v>
      </c>
    </row>
    <row r="719" spans="1:18" x14ac:dyDescent="0.35">
      <c r="A719" s="54">
        <v>1210075</v>
      </c>
      <c r="B719" s="54">
        <v>106766</v>
      </c>
      <c r="C719" s="54" t="s">
        <v>162</v>
      </c>
      <c r="D719" s="51">
        <v>17563.41999999994</v>
      </c>
      <c r="E719" s="52">
        <v>-0.15520434205830255</v>
      </c>
      <c r="F719" s="51">
        <v>17563.41999999994</v>
      </c>
      <c r="G719" s="52">
        <v>-0.15520434205830255</v>
      </c>
      <c r="H719" s="53">
        <v>1028</v>
      </c>
      <c r="I719" s="52">
        <v>-0.1892744479495268</v>
      </c>
      <c r="J719" s="53">
        <v>1028</v>
      </c>
      <c r="K719" s="52">
        <v>-0.1892744479495268</v>
      </c>
      <c r="L719" s="53">
        <v>711</v>
      </c>
      <c r="M719" s="52">
        <v>-0.25157894736842107</v>
      </c>
      <c r="N719" s="53">
        <v>711</v>
      </c>
      <c r="O719" s="52">
        <v>-0.25157894736842107</v>
      </c>
      <c r="P719" s="51">
        <f t="shared" si="22"/>
        <v>1.4458509142053446</v>
      </c>
      <c r="Q719" s="50">
        <f t="shared" si="23"/>
        <v>24.702419127988662</v>
      </c>
      <c r="R719" s="39" t="s">
        <v>51</v>
      </c>
    </row>
    <row r="720" spans="1:18" x14ac:dyDescent="0.35">
      <c r="A720" s="54">
        <v>1210089</v>
      </c>
      <c r="B720" s="54">
        <v>107522</v>
      </c>
      <c r="C720" s="54" t="s">
        <v>161</v>
      </c>
      <c r="D720" s="51">
        <v>17451.630000000005</v>
      </c>
      <c r="E720" s="52"/>
      <c r="F720" s="51"/>
      <c r="G720" s="52"/>
      <c r="H720" s="53">
        <v>1066</v>
      </c>
      <c r="I720" s="52" t="s">
        <v>52</v>
      </c>
      <c r="J720" s="53"/>
      <c r="K720" s="52"/>
      <c r="L720" s="53">
        <v>772</v>
      </c>
      <c r="M720" s="52" t="s">
        <v>52</v>
      </c>
      <c r="N720" s="53"/>
      <c r="O720" s="52"/>
      <c r="P720" s="51">
        <f t="shared" si="22"/>
        <v>1.3808290155440415</v>
      </c>
      <c r="Q720" s="50">
        <f t="shared" si="23"/>
        <v>22.60573834196892</v>
      </c>
      <c r="R720" s="39" t="s">
        <v>51</v>
      </c>
    </row>
    <row r="721" spans="1:18" x14ac:dyDescent="0.35">
      <c r="A721" s="54">
        <v>1210034</v>
      </c>
      <c r="B721" s="54">
        <v>104204</v>
      </c>
      <c r="C721" s="54" t="s">
        <v>160</v>
      </c>
      <c r="D721" s="51">
        <v>17289.32999999994</v>
      </c>
      <c r="E721" s="52">
        <v>1.9327288667102472E-2</v>
      </c>
      <c r="F721" s="51">
        <v>17289.32999999994</v>
      </c>
      <c r="G721" s="52">
        <v>1.9327288667102472E-2</v>
      </c>
      <c r="H721" s="53">
        <v>1006</v>
      </c>
      <c r="I721" s="52">
        <v>-0.15391084945332212</v>
      </c>
      <c r="J721" s="53">
        <v>1006</v>
      </c>
      <c r="K721" s="52">
        <v>-0.15391084945332212</v>
      </c>
      <c r="L721" s="53">
        <v>830</v>
      </c>
      <c r="M721" s="52">
        <v>-0.17248255234297108</v>
      </c>
      <c r="N721" s="53">
        <v>830</v>
      </c>
      <c r="O721" s="52">
        <v>-0.17248255234297108</v>
      </c>
      <c r="P721" s="51">
        <f t="shared" si="22"/>
        <v>1.2120481927710844</v>
      </c>
      <c r="Q721" s="50">
        <f t="shared" si="23"/>
        <v>20.830518072289085</v>
      </c>
      <c r="R721" s="39" t="s">
        <v>51</v>
      </c>
    </row>
    <row r="722" spans="1:18" x14ac:dyDescent="0.35">
      <c r="A722" s="54">
        <v>1210091</v>
      </c>
      <c r="B722" s="54">
        <v>107718</v>
      </c>
      <c r="C722" s="54" t="s">
        <v>159</v>
      </c>
      <c r="D722" s="51">
        <v>17256.329999999911</v>
      </c>
      <c r="E722" s="52"/>
      <c r="F722" s="51"/>
      <c r="G722" s="52"/>
      <c r="H722" s="53">
        <v>949</v>
      </c>
      <c r="I722" s="52" t="s">
        <v>52</v>
      </c>
      <c r="J722" s="53"/>
      <c r="K722" s="52"/>
      <c r="L722" s="53">
        <v>672</v>
      </c>
      <c r="M722" s="52" t="s">
        <v>52</v>
      </c>
      <c r="N722" s="53"/>
      <c r="O722" s="52"/>
      <c r="P722" s="51">
        <f t="shared" si="22"/>
        <v>1.4122023809523809</v>
      </c>
      <c r="Q722" s="50">
        <f t="shared" si="23"/>
        <v>25.679062499999866</v>
      </c>
      <c r="R722" s="39" t="s">
        <v>51</v>
      </c>
    </row>
    <row r="723" spans="1:18" x14ac:dyDescent="0.35">
      <c r="A723" s="54">
        <v>1130010</v>
      </c>
      <c r="B723" s="54">
        <v>104678</v>
      </c>
      <c r="C723" s="54" t="s">
        <v>158</v>
      </c>
      <c r="D723" s="51">
        <v>17172.029999999988</v>
      </c>
      <c r="E723" s="52">
        <v>0.38748294131002325</v>
      </c>
      <c r="F723" s="51">
        <v>17172.029999999988</v>
      </c>
      <c r="G723" s="52">
        <v>0.38748294131002325</v>
      </c>
      <c r="H723" s="53">
        <v>977</v>
      </c>
      <c r="I723" s="52">
        <v>0.31317204301075269</v>
      </c>
      <c r="J723" s="53">
        <v>977</v>
      </c>
      <c r="K723" s="52">
        <v>0.31317204301075269</v>
      </c>
      <c r="L723" s="53">
        <v>687</v>
      </c>
      <c r="M723" s="52">
        <v>0.31609195402298851</v>
      </c>
      <c r="N723" s="53">
        <v>687</v>
      </c>
      <c r="O723" s="52">
        <v>0.31609195402298851</v>
      </c>
      <c r="P723" s="51">
        <f t="shared" si="22"/>
        <v>1.4221251819505094</v>
      </c>
      <c r="Q723" s="50">
        <f t="shared" si="23"/>
        <v>24.99567685589518</v>
      </c>
      <c r="R723" s="39" t="s">
        <v>51</v>
      </c>
    </row>
    <row r="724" spans="1:18" x14ac:dyDescent="0.35">
      <c r="A724" s="54">
        <v>1240292</v>
      </c>
      <c r="B724" s="54">
        <v>105207</v>
      </c>
      <c r="C724" s="54" t="s">
        <v>157</v>
      </c>
      <c r="D724" s="51">
        <v>17162.699999999997</v>
      </c>
      <c r="E724" s="52">
        <v>-3.1918536012775806E-2</v>
      </c>
      <c r="F724" s="51">
        <v>17162.699999999997</v>
      </c>
      <c r="G724" s="52">
        <v>-3.1918536012775806E-2</v>
      </c>
      <c r="H724" s="53">
        <v>999</v>
      </c>
      <c r="I724" s="52">
        <v>-0.11357586512866016</v>
      </c>
      <c r="J724" s="53">
        <v>999</v>
      </c>
      <c r="K724" s="52">
        <v>-0.11357586512866016</v>
      </c>
      <c r="L724" s="53">
        <v>696</v>
      </c>
      <c r="M724" s="52">
        <v>-7.9365079365079361E-2</v>
      </c>
      <c r="N724" s="53">
        <v>696</v>
      </c>
      <c r="O724" s="52">
        <v>-7.9365079365079361E-2</v>
      </c>
      <c r="P724" s="51">
        <f t="shared" si="22"/>
        <v>1.4353448275862069</v>
      </c>
      <c r="Q724" s="50">
        <f t="shared" si="23"/>
        <v>24.659051724137928</v>
      </c>
      <c r="R724" s="39" t="s">
        <v>51</v>
      </c>
    </row>
    <row r="725" spans="1:18" x14ac:dyDescent="0.35">
      <c r="A725" s="54">
        <v>1240319</v>
      </c>
      <c r="B725" s="54">
        <v>105607</v>
      </c>
      <c r="C725" s="54" t="s">
        <v>156</v>
      </c>
      <c r="D725" s="51">
        <v>17132.809999999852</v>
      </c>
      <c r="E725" s="52">
        <v>-0.54315722839778946</v>
      </c>
      <c r="F725" s="51">
        <v>17132.809999999852</v>
      </c>
      <c r="G725" s="52">
        <v>-0.54315722839778946</v>
      </c>
      <c r="H725" s="53">
        <v>1160</v>
      </c>
      <c r="I725" s="52">
        <v>-0.57633308984660336</v>
      </c>
      <c r="J725" s="53">
        <v>1160</v>
      </c>
      <c r="K725" s="52">
        <v>-0.57633308984660336</v>
      </c>
      <c r="L725" s="53">
        <v>799</v>
      </c>
      <c r="M725" s="52">
        <v>-0.57590233545647562</v>
      </c>
      <c r="N725" s="53">
        <v>799</v>
      </c>
      <c r="O725" s="52">
        <v>-0.57590233545647562</v>
      </c>
      <c r="P725" s="51">
        <f t="shared" si="22"/>
        <v>1.4518147684605758</v>
      </c>
      <c r="Q725" s="50">
        <f t="shared" si="23"/>
        <v>21.442816020024846</v>
      </c>
      <c r="R725" s="39" t="s">
        <v>51</v>
      </c>
    </row>
    <row r="726" spans="1:18" x14ac:dyDescent="0.35">
      <c r="A726" s="54">
        <v>1270018</v>
      </c>
      <c r="B726" s="54">
        <v>104722</v>
      </c>
      <c r="C726" s="54" t="s">
        <v>155</v>
      </c>
      <c r="D726" s="51">
        <v>16985.779999999973</v>
      </c>
      <c r="E726" s="52">
        <v>-0.53464547147413077</v>
      </c>
      <c r="F726" s="51">
        <v>16985.779999999973</v>
      </c>
      <c r="G726" s="52">
        <v>-0.53464547147413077</v>
      </c>
      <c r="H726" s="53">
        <v>1076</v>
      </c>
      <c r="I726" s="52">
        <v>-0.55610561056105612</v>
      </c>
      <c r="J726" s="53">
        <v>1076</v>
      </c>
      <c r="K726" s="52">
        <v>-0.55610561056105612</v>
      </c>
      <c r="L726" s="53">
        <v>780</v>
      </c>
      <c r="M726" s="52">
        <v>-0.54385964912280704</v>
      </c>
      <c r="N726" s="53">
        <v>780</v>
      </c>
      <c r="O726" s="52">
        <v>-0.54385964912280704</v>
      </c>
      <c r="P726" s="51">
        <f t="shared" si="22"/>
        <v>1.3794871794871795</v>
      </c>
      <c r="Q726" s="50">
        <f t="shared" si="23"/>
        <v>21.776641025640991</v>
      </c>
      <c r="R726" s="39" t="s">
        <v>51</v>
      </c>
    </row>
    <row r="727" spans="1:18" x14ac:dyDescent="0.35">
      <c r="A727" s="54">
        <v>1270017</v>
      </c>
      <c r="B727" s="54">
        <v>107742</v>
      </c>
      <c r="C727" s="54" t="s">
        <v>154</v>
      </c>
      <c r="D727" s="51">
        <v>16979.789999999972</v>
      </c>
      <c r="E727" s="52"/>
      <c r="F727" s="51">
        <v>14532.199999999953</v>
      </c>
      <c r="G727" s="52"/>
      <c r="H727" s="53">
        <v>1235</v>
      </c>
      <c r="I727" s="52" t="s">
        <v>52</v>
      </c>
      <c r="J727" s="53">
        <v>1058</v>
      </c>
      <c r="K727" s="52"/>
      <c r="L727" s="53">
        <v>846</v>
      </c>
      <c r="M727" s="52" t="s">
        <v>52</v>
      </c>
      <c r="N727" s="53">
        <v>720</v>
      </c>
      <c r="O727" s="52"/>
      <c r="P727" s="51">
        <f t="shared" si="22"/>
        <v>1.4598108747044918</v>
      </c>
      <c r="Q727" s="50">
        <f t="shared" si="23"/>
        <v>20.070673758865215</v>
      </c>
      <c r="R727" s="39" t="s">
        <v>51</v>
      </c>
    </row>
    <row r="728" spans="1:18" x14ac:dyDescent="0.35">
      <c r="A728" s="54">
        <v>1160019</v>
      </c>
      <c r="B728" s="54">
        <v>105541</v>
      </c>
      <c r="C728" s="54" t="s">
        <v>153</v>
      </c>
      <c r="D728" s="51">
        <v>16766.30999999999</v>
      </c>
      <c r="E728" s="52">
        <v>-0.15698680899311382</v>
      </c>
      <c r="F728" s="51">
        <v>16766.30999999999</v>
      </c>
      <c r="G728" s="52">
        <v>-0.15698680899311382</v>
      </c>
      <c r="H728" s="53">
        <v>841</v>
      </c>
      <c r="I728" s="52">
        <v>-0.18743961352657004</v>
      </c>
      <c r="J728" s="53">
        <v>841</v>
      </c>
      <c r="K728" s="52">
        <v>-0.18743961352657004</v>
      </c>
      <c r="L728" s="53">
        <v>594</v>
      </c>
      <c r="M728" s="52">
        <v>-0.19183673469387755</v>
      </c>
      <c r="N728" s="53">
        <v>594</v>
      </c>
      <c r="O728" s="52">
        <v>-0.19183673469387755</v>
      </c>
      <c r="P728" s="51">
        <f t="shared" si="22"/>
        <v>1.4158249158249159</v>
      </c>
      <c r="Q728" s="50">
        <f t="shared" si="23"/>
        <v>28.226111111111095</v>
      </c>
      <c r="R728" s="39" t="s">
        <v>51</v>
      </c>
    </row>
    <row r="729" spans="1:18" x14ac:dyDescent="0.35">
      <c r="A729" s="54">
        <v>1240276</v>
      </c>
      <c r="B729" s="54">
        <v>104887</v>
      </c>
      <c r="C729" s="54" t="s">
        <v>152</v>
      </c>
      <c r="D729" s="51">
        <v>16699.140000000018</v>
      </c>
      <c r="E729" s="52">
        <v>-7.6061228757997645E-2</v>
      </c>
      <c r="F729" s="51">
        <v>16699.140000000018</v>
      </c>
      <c r="G729" s="52">
        <v>-7.6061228757997645E-2</v>
      </c>
      <c r="H729" s="53">
        <v>1331</v>
      </c>
      <c r="I729" s="52">
        <v>-0.10430686406460296</v>
      </c>
      <c r="J729" s="53">
        <v>1331</v>
      </c>
      <c r="K729" s="52">
        <v>-0.10430686406460296</v>
      </c>
      <c r="L729" s="53">
        <v>893</v>
      </c>
      <c r="M729" s="52">
        <v>-0.11496531219028741</v>
      </c>
      <c r="N729" s="53">
        <v>893</v>
      </c>
      <c r="O729" s="52">
        <v>-0.11496531219028741</v>
      </c>
      <c r="P729" s="51">
        <f t="shared" si="22"/>
        <v>1.4904815229563271</v>
      </c>
      <c r="Q729" s="50">
        <f t="shared" si="23"/>
        <v>18.700044792833168</v>
      </c>
      <c r="R729" s="39" t="s">
        <v>51</v>
      </c>
    </row>
    <row r="730" spans="1:18" x14ac:dyDescent="0.35">
      <c r="A730" s="54">
        <v>1210050</v>
      </c>
      <c r="B730" s="54">
        <v>107894</v>
      </c>
      <c r="C730" s="54" t="s">
        <v>151</v>
      </c>
      <c r="D730" s="51">
        <v>16619.96000000001</v>
      </c>
      <c r="E730" s="52"/>
      <c r="F730" s="51">
        <v>16619.96000000001</v>
      </c>
      <c r="G730" s="52"/>
      <c r="H730" s="53">
        <v>1008</v>
      </c>
      <c r="I730" s="52" t="s">
        <v>52</v>
      </c>
      <c r="J730" s="53">
        <v>1008</v>
      </c>
      <c r="K730" s="52"/>
      <c r="L730" s="53">
        <v>735</v>
      </c>
      <c r="M730" s="52" t="s">
        <v>52</v>
      </c>
      <c r="N730" s="53">
        <v>735</v>
      </c>
      <c r="O730" s="52"/>
      <c r="P730" s="51">
        <f t="shared" si="22"/>
        <v>1.3714285714285714</v>
      </c>
      <c r="Q730" s="50">
        <f t="shared" si="23"/>
        <v>22.612190476190491</v>
      </c>
      <c r="R730" s="39" t="s">
        <v>51</v>
      </c>
    </row>
    <row r="731" spans="1:18" x14ac:dyDescent="0.35">
      <c r="A731" s="54">
        <v>1270029</v>
      </c>
      <c r="B731" s="54">
        <v>106924</v>
      </c>
      <c r="C731" s="54" t="s">
        <v>150</v>
      </c>
      <c r="D731" s="51">
        <v>16321.219999999996</v>
      </c>
      <c r="E731" s="52"/>
      <c r="F731" s="51">
        <v>16321.219999999996</v>
      </c>
      <c r="G731" s="52"/>
      <c r="H731" s="53">
        <v>1099</v>
      </c>
      <c r="I731" s="52" t="s">
        <v>52</v>
      </c>
      <c r="J731" s="53">
        <v>1099</v>
      </c>
      <c r="K731" s="52"/>
      <c r="L731" s="53">
        <v>771</v>
      </c>
      <c r="M731" s="52" t="s">
        <v>52</v>
      </c>
      <c r="N731" s="53">
        <v>771</v>
      </c>
      <c r="O731" s="52"/>
      <c r="P731" s="51">
        <f t="shared" si="22"/>
        <v>1.4254215304798963</v>
      </c>
      <c r="Q731" s="50">
        <f t="shared" si="23"/>
        <v>21.168897535667959</v>
      </c>
      <c r="R731" s="39" t="s">
        <v>51</v>
      </c>
    </row>
    <row r="732" spans="1:18" x14ac:dyDescent="0.35">
      <c r="A732" s="54">
        <v>1210082</v>
      </c>
      <c r="B732" s="54">
        <v>106954</v>
      </c>
      <c r="C732" s="54" t="s">
        <v>149</v>
      </c>
      <c r="D732" s="51">
        <v>16094.169999999998</v>
      </c>
      <c r="E732" s="52">
        <v>0.69417665821025698</v>
      </c>
      <c r="F732" s="51">
        <v>16094.169999999998</v>
      </c>
      <c r="G732" s="52">
        <v>0.69417665821025698</v>
      </c>
      <c r="H732" s="53">
        <v>991</v>
      </c>
      <c r="I732" s="52">
        <v>0.64617940199335544</v>
      </c>
      <c r="J732" s="53">
        <v>991</v>
      </c>
      <c r="K732" s="52">
        <v>0.64617940199335544</v>
      </c>
      <c r="L732" s="53">
        <v>714</v>
      </c>
      <c r="M732" s="52">
        <v>0.60810810810810811</v>
      </c>
      <c r="N732" s="53">
        <v>714</v>
      </c>
      <c r="O732" s="52">
        <v>0.60810810810810811</v>
      </c>
      <c r="P732" s="51">
        <f t="shared" si="22"/>
        <v>1.3879551820728291</v>
      </c>
      <c r="Q732" s="50">
        <f t="shared" si="23"/>
        <v>22.540854341736694</v>
      </c>
      <c r="R732" s="39" t="s">
        <v>51</v>
      </c>
    </row>
    <row r="733" spans="1:18" x14ac:dyDescent="0.35">
      <c r="A733" s="54">
        <v>1210059</v>
      </c>
      <c r="B733" s="54">
        <v>105479</v>
      </c>
      <c r="C733" s="54" t="s">
        <v>148</v>
      </c>
      <c r="D733" s="51">
        <v>16054.800000000001</v>
      </c>
      <c r="E733" s="52">
        <v>-3.5353778119593837E-2</v>
      </c>
      <c r="F733" s="51">
        <v>16054.800000000001</v>
      </c>
      <c r="G733" s="52">
        <v>-3.5353778119593837E-2</v>
      </c>
      <c r="H733" s="53">
        <v>921</v>
      </c>
      <c r="I733" s="52">
        <v>-0.15193370165745856</v>
      </c>
      <c r="J733" s="53">
        <v>921</v>
      </c>
      <c r="K733" s="52">
        <v>-0.15193370165745856</v>
      </c>
      <c r="L733" s="53">
        <v>676</v>
      </c>
      <c r="M733" s="52">
        <v>-0.14754098360655737</v>
      </c>
      <c r="N733" s="53">
        <v>676</v>
      </c>
      <c r="O733" s="52">
        <v>-0.14754098360655737</v>
      </c>
      <c r="P733" s="51">
        <f t="shared" si="22"/>
        <v>1.3624260355029585</v>
      </c>
      <c r="Q733" s="50">
        <f t="shared" si="23"/>
        <v>23.749704142011836</v>
      </c>
      <c r="R733" s="39" t="s">
        <v>51</v>
      </c>
    </row>
    <row r="734" spans="1:18" x14ac:dyDescent="0.35">
      <c r="A734" s="54">
        <v>1270003</v>
      </c>
      <c r="B734" s="54">
        <v>100546</v>
      </c>
      <c r="C734" s="54" t="s">
        <v>147</v>
      </c>
      <c r="D734" s="51">
        <v>15647.300000000027</v>
      </c>
      <c r="E734" s="52">
        <v>-0.16333636687373657</v>
      </c>
      <c r="F734" s="51">
        <v>15647.300000000027</v>
      </c>
      <c r="G734" s="52">
        <v>-0.16333636687373657</v>
      </c>
      <c r="H734" s="53">
        <v>1089</v>
      </c>
      <c r="I734" s="52">
        <v>-0.20161290322580644</v>
      </c>
      <c r="J734" s="53">
        <v>1089</v>
      </c>
      <c r="K734" s="52">
        <v>-0.20161290322580644</v>
      </c>
      <c r="L734" s="53">
        <v>731</v>
      </c>
      <c r="M734" s="52">
        <v>-0.16647662485746864</v>
      </c>
      <c r="N734" s="53">
        <v>731</v>
      </c>
      <c r="O734" s="52">
        <v>-0.16647662485746864</v>
      </c>
      <c r="P734" s="51">
        <f t="shared" si="22"/>
        <v>1.4897400820793434</v>
      </c>
      <c r="Q734" s="50">
        <f t="shared" si="23"/>
        <v>21.405335157318778</v>
      </c>
      <c r="R734" s="39" t="s">
        <v>51</v>
      </c>
    </row>
    <row r="735" spans="1:18" x14ac:dyDescent="0.35">
      <c r="A735" s="54">
        <v>1240299</v>
      </c>
      <c r="B735" s="54">
        <v>105287</v>
      </c>
      <c r="C735" s="54" t="s">
        <v>146</v>
      </c>
      <c r="D735" s="51">
        <v>15531.530000000026</v>
      </c>
      <c r="E735" s="52">
        <v>-0.20317007539125645</v>
      </c>
      <c r="F735" s="51">
        <v>15531.530000000026</v>
      </c>
      <c r="G735" s="52">
        <v>-0.20317007539125645</v>
      </c>
      <c r="H735" s="53">
        <v>990</v>
      </c>
      <c r="I735" s="52">
        <v>-0.29133858267716534</v>
      </c>
      <c r="J735" s="53">
        <v>990</v>
      </c>
      <c r="K735" s="52">
        <v>-0.29133858267716534</v>
      </c>
      <c r="L735" s="53">
        <v>654</v>
      </c>
      <c r="M735" s="52">
        <v>-0.2643419572553431</v>
      </c>
      <c r="N735" s="53">
        <v>654</v>
      </c>
      <c r="O735" s="52">
        <v>-0.2643419572553431</v>
      </c>
      <c r="P735" s="51">
        <f t="shared" si="22"/>
        <v>1.5137614678899083</v>
      </c>
      <c r="Q735" s="50">
        <f t="shared" si="23"/>
        <v>23.748516819571904</v>
      </c>
      <c r="R735" s="39" t="s">
        <v>54</v>
      </c>
    </row>
    <row r="736" spans="1:18" x14ac:dyDescent="0.35">
      <c r="A736" s="54">
        <v>1240418</v>
      </c>
      <c r="B736" s="54">
        <v>107367</v>
      </c>
      <c r="C736" s="54" t="s">
        <v>145</v>
      </c>
      <c r="D736" s="51">
        <v>15286.160000000003</v>
      </c>
      <c r="E736" s="52"/>
      <c r="F736" s="51">
        <v>3746.4900000000075</v>
      </c>
      <c r="G736" s="52"/>
      <c r="H736" s="53">
        <v>881</v>
      </c>
      <c r="I736" s="52" t="s">
        <v>52</v>
      </c>
      <c r="J736" s="53">
        <v>220</v>
      </c>
      <c r="K736" s="52"/>
      <c r="L736" s="53">
        <v>635</v>
      </c>
      <c r="M736" s="52" t="s">
        <v>52</v>
      </c>
      <c r="N736" s="53">
        <v>164</v>
      </c>
      <c r="O736" s="52"/>
      <c r="P736" s="51">
        <f t="shared" si="22"/>
        <v>1.3874015748031496</v>
      </c>
      <c r="Q736" s="50">
        <f t="shared" si="23"/>
        <v>24.072692913385833</v>
      </c>
      <c r="R736" s="39" t="s">
        <v>51</v>
      </c>
    </row>
    <row r="737" spans="1:18" x14ac:dyDescent="0.35">
      <c r="A737" s="54">
        <v>1240401</v>
      </c>
      <c r="B737" s="54">
        <v>107114</v>
      </c>
      <c r="C737" s="54" t="s">
        <v>144</v>
      </c>
      <c r="D737" s="51">
        <v>14695.400000000025</v>
      </c>
      <c r="E737" s="52">
        <v>-0.34351486734178904</v>
      </c>
      <c r="F737" s="51">
        <v>14695.400000000025</v>
      </c>
      <c r="G737" s="52">
        <v>-0.34351486734178904</v>
      </c>
      <c r="H737" s="53">
        <v>884</v>
      </c>
      <c r="I737" s="52">
        <v>-0.34808259587020651</v>
      </c>
      <c r="J737" s="53">
        <v>884</v>
      </c>
      <c r="K737" s="52">
        <v>-0.34808259587020651</v>
      </c>
      <c r="L737" s="53">
        <v>633</v>
      </c>
      <c r="M737" s="52">
        <v>-0.34336099585062241</v>
      </c>
      <c r="N737" s="53">
        <v>633</v>
      </c>
      <c r="O737" s="52">
        <v>-0.34336099585062241</v>
      </c>
      <c r="P737" s="51">
        <f t="shared" si="22"/>
        <v>1.39652448657188</v>
      </c>
      <c r="Q737" s="50">
        <f t="shared" si="23"/>
        <v>23.215481832543485</v>
      </c>
      <c r="R737" s="39" t="s">
        <v>51</v>
      </c>
    </row>
    <row r="738" spans="1:18" x14ac:dyDescent="0.35">
      <c r="A738" s="54">
        <v>1240378</v>
      </c>
      <c r="B738" s="54">
        <v>106868</v>
      </c>
      <c r="C738" s="54" t="s">
        <v>143</v>
      </c>
      <c r="D738" s="51">
        <v>14604.650000000043</v>
      </c>
      <c r="E738" s="52">
        <v>0.16946193852670793</v>
      </c>
      <c r="F738" s="51">
        <v>14604.650000000043</v>
      </c>
      <c r="G738" s="52">
        <v>0.16946193852670793</v>
      </c>
      <c r="H738" s="53">
        <v>1005</v>
      </c>
      <c r="I738" s="52">
        <v>0.10682819383259912</v>
      </c>
      <c r="J738" s="53">
        <v>1005</v>
      </c>
      <c r="K738" s="52">
        <v>0.10682819383259912</v>
      </c>
      <c r="L738" s="53">
        <v>622</v>
      </c>
      <c r="M738" s="52">
        <v>8.7412587412587409E-2</v>
      </c>
      <c r="N738" s="53">
        <v>622</v>
      </c>
      <c r="O738" s="52">
        <v>8.7412587412587409E-2</v>
      </c>
      <c r="P738" s="51">
        <f t="shared" si="22"/>
        <v>1.6157556270096463</v>
      </c>
      <c r="Q738" s="50">
        <f t="shared" si="23"/>
        <v>23.480144694533831</v>
      </c>
      <c r="R738" s="39" t="s">
        <v>54</v>
      </c>
    </row>
    <row r="739" spans="1:18" x14ac:dyDescent="0.35">
      <c r="A739" s="54">
        <v>1250041</v>
      </c>
      <c r="B739" s="54">
        <v>106384</v>
      </c>
      <c r="C739" s="54" t="s">
        <v>142</v>
      </c>
      <c r="D739" s="51">
        <v>14435.320000000011</v>
      </c>
      <c r="E739" s="52">
        <v>0.1522491708539703</v>
      </c>
      <c r="F739" s="51">
        <v>14435.320000000011</v>
      </c>
      <c r="G739" s="52">
        <v>0.1522491708539703</v>
      </c>
      <c r="H739" s="53">
        <v>860</v>
      </c>
      <c r="I739" s="52">
        <v>0.11398963730569948</v>
      </c>
      <c r="J739" s="53">
        <v>860</v>
      </c>
      <c r="K739" s="52">
        <v>0.11398963730569948</v>
      </c>
      <c r="L739" s="53">
        <v>564</v>
      </c>
      <c r="M739" s="52">
        <v>0.11242603550295859</v>
      </c>
      <c r="N739" s="53">
        <v>564</v>
      </c>
      <c r="O739" s="52">
        <v>0.11242603550295859</v>
      </c>
      <c r="P739" s="51">
        <f t="shared" si="22"/>
        <v>1.5248226950354611</v>
      </c>
      <c r="Q739" s="50">
        <f t="shared" si="23"/>
        <v>25.594539007092216</v>
      </c>
      <c r="R739" s="39" t="s">
        <v>54</v>
      </c>
    </row>
    <row r="740" spans="1:18" x14ac:dyDescent="0.35">
      <c r="A740" s="54">
        <v>1210006</v>
      </c>
      <c r="B740" s="54">
        <v>100654</v>
      </c>
      <c r="C740" s="54" t="s">
        <v>141</v>
      </c>
      <c r="D740" s="51">
        <v>14393.279999999912</v>
      </c>
      <c r="E740" s="52">
        <v>-0.46696945086663638</v>
      </c>
      <c r="F740" s="51">
        <v>14393.279999999912</v>
      </c>
      <c r="G740" s="52">
        <v>-0.3166187601664836</v>
      </c>
      <c r="H740" s="53">
        <v>856</v>
      </c>
      <c r="I740" s="52">
        <v>-0.55647668393782379</v>
      </c>
      <c r="J740" s="53">
        <v>856</v>
      </c>
      <c r="K740" s="52">
        <v>-0.42005420054200543</v>
      </c>
      <c r="L740" s="53">
        <v>604</v>
      </c>
      <c r="M740" s="52">
        <v>-0.51093117408906885</v>
      </c>
      <c r="N740" s="53">
        <v>604</v>
      </c>
      <c r="O740" s="52">
        <v>-0.36084656084656086</v>
      </c>
      <c r="P740" s="51">
        <f t="shared" si="22"/>
        <v>1.4172185430463575</v>
      </c>
      <c r="Q740" s="50">
        <f t="shared" si="23"/>
        <v>23.829933774834291</v>
      </c>
      <c r="R740" s="39" t="s">
        <v>51</v>
      </c>
    </row>
    <row r="741" spans="1:18" x14ac:dyDescent="0.35">
      <c r="A741" s="54">
        <v>1210046</v>
      </c>
      <c r="B741" s="54">
        <v>104829</v>
      </c>
      <c r="C741" s="54" t="s">
        <v>140</v>
      </c>
      <c r="D741" s="51">
        <v>14374.909999999993</v>
      </c>
      <c r="E741" s="52">
        <v>-0.17617712847075273</v>
      </c>
      <c r="F741" s="51">
        <v>14374.909999999993</v>
      </c>
      <c r="G741" s="52">
        <v>-0.17617712847075273</v>
      </c>
      <c r="H741" s="53">
        <v>864</v>
      </c>
      <c r="I741" s="52">
        <v>-0.25324114088159033</v>
      </c>
      <c r="J741" s="53">
        <v>864</v>
      </c>
      <c r="K741" s="52">
        <v>-0.25324114088159033</v>
      </c>
      <c r="L741" s="53">
        <v>639</v>
      </c>
      <c r="M741" s="52">
        <v>-0.21305418719211822</v>
      </c>
      <c r="N741" s="53">
        <v>639</v>
      </c>
      <c r="O741" s="52">
        <v>-0.21305418719211822</v>
      </c>
      <c r="P741" s="51">
        <f t="shared" si="22"/>
        <v>1.352112676056338</v>
      </c>
      <c r="Q741" s="50">
        <f t="shared" si="23"/>
        <v>22.495946791862274</v>
      </c>
      <c r="R741" s="39" t="s">
        <v>51</v>
      </c>
    </row>
    <row r="742" spans="1:18" x14ac:dyDescent="0.35">
      <c r="A742" s="54">
        <v>1210049</v>
      </c>
      <c r="B742" s="54">
        <v>104864</v>
      </c>
      <c r="C742" s="54" t="s">
        <v>139</v>
      </c>
      <c r="D742" s="51">
        <v>14349.469999999994</v>
      </c>
      <c r="E742" s="52">
        <v>8.0322413634422857E-3</v>
      </c>
      <c r="F742" s="51">
        <v>14349.469999999994</v>
      </c>
      <c r="G742" s="52">
        <v>8.0322413634422857E-3</v>
      </c>
      <c r="H742" s="53">
        <v>800</v>
      </c>
      <c r="I742" s="52">
        <v>-5.5489964580873671E-2</v>
      </c>
      <c r="J742" s="53">
        <v>800</v>
      </c>
      <c r="K742" s="52">
        <v>-5.5489964580873671E-2</v>
      </c>
      <c r="L742" s="53">
        <v>595</v>
      </c>
      <c r="M742" s="52">
        <v>-1.3266998341625208E-2</v>
      </c>
      <c r="N742" s="53">
        <v>595</v>
      </c>
      <c r="O742" s="52">
        <v>-1.3266998341625208E-2</v>
      </c>
      <c r="P742" s="51">
        <f t="shared" si="22"/>
        <v>1.3445378151260505</v>
      </c>
      <c r="Q742" s="50">
        <f t="shared" si="23"/>
        <v>24.116756302520997</v>
      </c>
      <c r="R742" s="39" t="s">
        <v>51</v>
      </c>
    </row>
    <row r="743" spans="1:18" x14ac:dyDescent="0.35">
      <c r="A743" s="54">
        <v>1170013</v>
      </c>
      <c r="B743" s="54">
        <v>105709</v>
      </c>
      <c r="C743" s="54" t="s">
        <v>138</v>
      </c>
      <c r="D743" s="51">
        <v>14294.169999999995</v>
      </c>
      <c r="E743" s="52">
        <v>-0.20473116460934371</v>
      </c>
      <c r="F743" s="51">
        <v>14294.169999999995</v>
      </c>
      <c r="G743" s="52">
        <v>-0.20473116460934371</v>
      </c>
      <c r="H743" s="53">
        <v>735</v>
      </c>
      <c r="I743" s="52">
        <v>-0.29326923076923078</v>
      </c>
      <c r="J743" s="53">
        <v>735</v>
      </c>
      <c r="K743" s="52">
        <v>-0.29326923076923078</v>
      </c>
      <c r="L743" s="53">
        <v>527</v>
      </c>
      <c r="M743" s="52">
        <v>-0.29261744966442954</v>
      </c>
      <c r="N743" s="53">
        <v>527</v>
      </c>
      <c r="O743" s="52">
        <v>-0.29261744966442954</v>
      </c>
      <c r="P743" s="51">
        <f t="shared" si="22"/>
        <v>1.3946869070208729</v>
      </c>
      <c r="Q743" s="50">
        <f t="shared" si="23"/>
        <v>27.123662239089175</v>
      </c>
      <c r="R743" s="39" t="s">
        <v>51</v>
      </c>
    </row>
    <row r="744" spans="1:18" x14ac:dyDescent="0.35">
      <c r="A744" s="54">
        <v>1170015</v>
      </c>
      <c r="B744" s="54">
        <v>106907</v>
      </c>
      <c r="C744" s="54" t="s">
        <v>137</v>
      </c>
      <c r="D744" s="51">
        <v>14243.590000000007</v>
      </c>
      <c r="E744" s="52">
        <v>-1.1958942812807386E-2</v>
      </c>
      <c r="F744" s="51">
        <v>14243.590000000007</v>
      </c>
      <c r="G744" s="52">
        <v>-1.1958942812807386E-2</v>
      </c>
      <c r="H744" s="53">
        <v>667</v>
      </c>
      <c r="I744" s="52">
        <v>-3.0523255813953487E-2</v>
      </c>
      <c r="J744" s="53">
        <v>667</v>
      </c>
      <c r="K744" s="52">
        <v>-3.0523255813953487E-2</v>
      </c>
      <c r="L744" s="53">
        <v>408</v>
      </c>
      <c r="M744" s="52">
        <v>-7.2727272727272724E-2</v>
      </c>
      <c r="N744" s="53">
        <v>408</v>
      </c>
      <c r="O744" s="52">
        <v>-7.2727272727272724E-2</v>
      </c>
      <c r="P744" s="51">
        <f t="shared" si="22"/>
        <v>1.6348039215686274</v>
      </c>
      <c r="Q744" s="50">
        <f t="shared" si="23"/>
        <v>34.910759803921586</v>
      </c>
      <c r="R744" s="39" t="s">
        <v>54</v>
      </c>
    </row>
    <row r="745" spans="1:18" x14ac:dyDescent="0.35">
      <c r="A745" s="54">
        <v>1080005</v>
      </c>
      <c r="B745" s="54">
        <v>104858</v>
      </c>
      <c r="C745" s="54" t="s">
        <v>136</v>
      </c>
      <c r="D745" s="51">
        <v>14203.549999999992</v>
      </c>
      <c r="E745" s="52">
        <v>-7.9036523933555008E-2</v>
      </c>
      <c r="F745" s="51">
        <v>14203.549999999992</v>
      </c>
      <c r="G745" s="52">
        <v>-7.9036523933555008E-2</v>
      </c>
      <c r="H745" s="53">
        <v>752</v>
      </c>
      <c r="I745" s="52">
        <v>-0.13563218390804599</v>
      </c>
      <c r="J745" s="53">
        <v>752</v>
      </c>
      <c r="K745" s="52">
        <v>-0.13563218390804599</v>
      </c>
      <c r="L745" s="53">
        <v>563</v>
      </c>
      <c r="M745" s="52">
        <v>-8.603896103896104E-2</v>
      </c>
      <c r="N745" s="53">
        <v>563</v>
      </c>
      <c r="O745" s="52">
        <v>-8.603896103896104E-2</v>
      </c>
      <c r="P745" s="51">
        <f t="shared" si="22"/>
        <v>1.3357015985790408</v>
      </c>
      <c r="Q745" s="50">
        <f t="shared" si="23"/>
        <v>25.228330373001761</v>
      </c>
      <c r="R745" s="39" t="s">
        <v>51</v>
      </c>
    </row>
    <row r="746" spans="1:18" x14ac:dyDescent="0.35">
      <c r="A746" s="54">
        <v>1240291</v>
      </c>
      <c r="B746" s="54">
        <v>107381</v>
      </c>
      <c r="C746" s="54" t="s">
        <v>135</v>
      </c>
      <c r="D746" s="51">
        <v>14100.300000000017</v>
      </c>
      <c r="E746" s="52">
        <v>1.0890787951161063</v>
      </c>
      <c r="F746" s="51">
        <v>14100.300000000017</v>
      </c>
      <c r="G746" s="52">
        <v>1.0890787951161063</v>
      </c>
      <c r="H746" s="53">
        <v>791</v>
      </c>
      <c r="I746" s="52">
        <v>0.94827586206896552</v>
      </c>
      <c r="J746" s="53">
        <v>791</v>
      </c>
      <c r="K746" s="52">
        <v>0.94827586206896552</v>
      </c>
      <c r="L746" s="53">
        <v>523</v>
      </c>
      <c r="M746" s="52">
        <v>0.81597222222222221</v>
      </c>
      <c r="N746" s="53">
        <v>523</v>
      </c>
      <c r="O746" s="52">
        <v>0.81597222222222221</v>
      </c>
      <c r="P746" s="51">
        <f t="shared" si="22"/>
        <v>1.5124282982791586</v>
      </c>
      <c r="Q746" s="50">
        <f t="shared" si="23"/>
        <v>26.960420650095635</v>
      </c>
      <c r="R746" s="39" t="s">
        <v>54</v>
      </c>
    </row>
    <row r="747" spans="1:18" x14ac:dyDescent="0.35">
      <c r="A747" s="54">
        <v>1210063</v>
      </c>
      <c r="B747" s="54">
        <v>105580</v>
      </c>
      <c r="C747" s="54" t="s">
        <v>134</v>
      </c>
      <c r="D747" s="51">
        <v>14032.620000000006</v>
      </c>
      <c r="E747" s="52">
        <v>-0.12264704797405723</v>
      </c>
      <c r="F747" s="51">
        <v>14032.620000000006</v>
      </c>
      <c r="G747" s="52">
        <v>-0.12264704797405723</v>
      </c>
      <c r="H747" s="53">
        <v>872</v>
      </c>
      <c r="I747" s="52">
        <v>-0.21370604147880973</v>
      </c>
      <c r="J747" s="53">
        <v>872</v>
      </c>
      <c r="K747" s="52">
        <v>-0.21370604147880973</v>
      </c>
      <c r="L747" s="53">
        <v>612</v>
      </c>
      <c r="M747" s="52">
        <v>-0.24163568773234201</v>
      </c>
      <c r="N747" s="53">
        <v>612</v>
      </c>
      <c r="O747" s="52">
        <v>-0.24163568773234201</v>
      </c>
      <c r="P747" s="51">
        <f t="shared" si="22"/>
        <v>1.4248366013071896</v>
      </c>
      <c r="Q747" s="50">
        <f t="shared" si="23"/>
        <v>22.929117647058835</v>
      </c>
      <c r="R747" s="39" t="s">
        <v>51</v>
      </c>
    </row>
    <row r="748" spans="1:18" x14ac:dyDescent="0.35">
      <c r="A748" s="54">
        <v>1160012</v>
      </c>
      <c r="B748" s="54">
        <v>104347</v>
      </c>
      <c r="C748" s="54" t="s">
        <v>133</v>
      </c>
      <c r="D748" s="51">
        <v>14017.960000000003</v>
      </c>
      <c r="E748" s="52">
        <v>-0.22746694074823107</v>
      </c>
      <c r="F748" s="51">
        <v>14017.960000000003</v>
      </c>
      <c r="G748" s="52">
        <v>-0.22746694074823107</v>
      </c>
      <c r="H748" s="53">
        <v>680</v>
      </c>
      <c r="I748" s="52">
        <v>-0.2781316348195329</v>
      </c>
      <c r="J748" s="53">
        <v>680</v>
      </c>
      <c r="K748" s="52">
        <v>-0.2781316348195329</v>
      </c>
      <c r="L748" s="53">
        <v>441</v>
      </c>
      <c r="M748" s="52">
        <v>-0.28525121555915722</v>
      </c>
      <c r="N748" s="53">
        <v>441</v>
      </c>
      <c r="O748" s="52">
        <v>-0.28525121555915722</v>
      </c>
      <c r="P748" s="51">
        <f t="shared" si="22"/>
        <v>1.5419501133786848</v>
      </c>
      <c r="Q748" s="50">
        <f t="shared" si="23"/>
        <v>31.78675736961452</v>
      </c>
      <c r="R748" s="39" t="s">
        <v>54</v>
      </c>
    </row>
    <row r="749" spans="1:18" x14ac:dyDescent="0.35">
      <c r="A749" s="54">
        <v>1170011</v>
      </c>
      <c r="B749" s="54">
        <v>106207</v>
      </c>
      <c r="C749" s="54" t="s">
        <v>132</v>
      </c>
      <c r="D749" s="51">
        <v>13918.23</v>
      </c>
      <c r="E749" s="52">
        <v>-0.24429278908255062</v>
      </c>
      <c r="F749" s="51">
        <v>13918.23</v>
      </c>
      <c r="G749" s="52">
        <v>-0.24429278908255062</v>
      </c>
      <c r="H749" s="53">
        <v>679</v>
      </c>
      <c r="I749" s="52">
        <v>-0.27842720510095642</v>
      </c>
      <c r="J749" s="53">
        <v>679</v>
      </c>
      <c r="K749" s="52">
        <v>-0.27842720510095642</v>
      </c>
      <c r="L749" s="53">
        <v>444</v>
      </c>
      <c r="M749" s="52">
        <v>-0.23183391003460208</v>
      </c>
      <c r="N749" s="53">
        <v>444</v>
      </c>
      <c r="O749" s="52">
        <v>-0.23183391003460208</v>
      </c>
      <c r="P749" s="51">
        <f t="shared" si="22"/>
        <v>1.5292792792792793</v>
      </c>
      <c r="Q749" s="50">
        <f t="shared" si="23"/>
        <v>31.347364864864865</v>
      </c>
      <c r="R749" s="39" t="s">
        <v>54</v>
      </c>
    </row>
    <row r="750" spans="1:18" x14ac:dyDescent="0.35">
      <c r="A750" s="54">
        <v>1210078</v>
      </c>
      <c r="B750" s="54">
        <v>106873</v>
      </c>
      <c r="C750" s="54" t="s">
        <v>131</v>
      </c>
      <c r="D750" s="51">
        <v>13847.429999999982</v>
      </c>
      <c r="E750" s="52">
        <v>-0.23670798579186764</v>
      </c>
      <c r="F750" s="51">
        <v>13847.429999999982</v>
      </c>
      <c r="G750" s="52">
        <v>-0.23670798579186764</v>
      </c>
      <c r="H750" s="53">
        <v>862</v>
      </c>
      <c r="I750" s="52">
        <v>-0.30145867098865481</v>
      </c>
      <c r="J750" s="53">
        <v>862</v>
      </c>
      <c r="K750" s="52">
        <v>-0.30145867098865481</v>
      </c>
      <c r="L750" s="53">
        <v>654</v>
      </c>
      <c r="M750" s="52">
        <v>-0.23058823529411765</v>
      </c>
      <c r="N750" s="53">
        <v>654</v>
      </c>
      <c r="O750" s="52">
        <v>-0.23058823529411765</v>
      </c>
      <c r="P750" s="51">
        <f t="shared" si="22"/>
        <v>1.3180428134556574</v>
      </c>
      <c r="Q750" s="50">
        <f t="shared" si="23"/>
        <v>21.17344036697245</v>
      </c>
      <c r="R750" s="39" t="s">
        <v>51</v>
      </c>
    </row>
    <row r="751" spans="1:18" x14ac:dyDescent="0.35">
      <c r="A751" s="54">
        <v>1240210</v>
      </c>
      <c r="B751" s="54">
        <v>102488</v>
      </c>
      <c r="C751" s="54" t="s">
        <v>130</v>
      </c>
      <c r="D751" s="51">
        <v>13683.940000000008</v>
      </c>
      <c r="E751" s="52">
        <v>9.6634749465462508E-2</v>
      </c>
      <c r="F751" s="51">
        <v>13683.940000000008</v>
      </c>
      <c r="G751" s="52">
        <v>9.6634749465462508E-2</v>
      </c>
      <c r="H751" s="53">
        <v>796</v>
      </c>
      <c r="I751" s="52">
        <v>-5.9101654846335699E-2</v>
      </c>
      <c r="J751" s="53">
        <v>796</v>
      </c>
      <c r="K751" s="52">
        <v>-5.9101654846335699E-2</v>
      </c>
      <c r="L751" s="53">
        <v>533</v>
      </c>
      <c r="M751" s="52">
        <v>-4.1366906474820143E-2</v>
      </c>
      <c r="N751" s="53">
        <v>533</v>
      </c>
      <c r="O751" s="52">
        <v>-4.1366906474820143E-2</v>
      </c>
      <c r="P751" s="51">
        <f t="shared" si="22"/>
        <v>1.4934333958724202</v>
      </c>
      <c r="Q751" s="50">
        <f t="shared" si="23"/>
        <v>25.673433395872436</v>
      </c>
      <c r="R751" s="39" t="s">
        <v>51</v>
      </c>
    </row>
    <row r="752" spans="1:18" x14ac:dyDescent="0.35">
      <c r="A752" s="54">
        <v>1210045</v>
      </c>
      <c r="B752" s="54">
        <v>104774</v>
      </c>
      <c r="C752" s="54" t="s">
        <v>129</v>
      </c>
      <c r="D752" s="51">
        <v>13595.800000000014</v>
      </c>
      <c r="E752" s="52">
        <v>-1.3245465696058282E-2</v>
      </c>
      <c r="F752" s="51">
        <v>13595.800000000014</v>
      </c>
      <c r="G752" s="52">
        <v>-1.3245465696058282E-2</v>
      </c>
      <c r="H752" s="53">
        <v>827</v>
      </c>
      <c r="I752" s="52">
        <v>-5.9158134243458477E-2</v>
      </c>
      <c r="J752" s="53">
        <v>827</v>
      </c>
      <c r="K752" s="52">
        <v>-5.9158134243458477E-2</v>
      </c>
      <c r="L752" s="53">
        <v>609</v>
      </c>
      <c r="M752" s="52">
        <v>-2.247191011235955E-2</v>
      </c>
      <c r="N752" s="53">
        <v>609</v>
      </c>
      <c r="O752" s="52">
        <v>-2.247191011235955E-2</v>
      </c>
      <c r="P752" s="51">
        <f t="shared" si="22"/>
        <v>1.3579638752052545</v>
      </c>
      <c r="Q752" s="50">
        <f t="shared" si="23"/>
        <v>22.324794745484425</v>
      </c>
      <c r="R752" s="39" t="s">
        <v>51</v>
      </c>
    </row>
    <row r="753" spans="1:18" x14ac:dyDescent="0.35">
      <c r="A753" s="54">
        <v>1220005</v>
      </c>
      <c r="B753" s="54">
        <v>104834</v>
      </c>
      <c r="C753" s="54" t="s">
        <v>128</v>
      </c>
      <c r="D753" s="51">
        <v>13362.380000000019</v>
      </c>
      <c r="E753" s="52">
        <v>1.6327558183135353E-2</v>
      </c>
      <c r="F753" s="51">
        <v>13362.380000000019</v>
      </c>
      <c r="G753" s="52">
        <v>1.6327558183135353E-2</v>
      </c>
      <c r="H753" s="53">
        <v>881</v>
      </c>
      <c r="I753" s="52">
        <v>-1.0112359550561797E-2</v>
      </c>
      <c r="J753" s="53">
        <v>881</v>
      </c>
      <c r="K753" s="52">
        <v>-1.0112359550561797E-2</v>
      </c>
      <c r="L753" s="53">
        <v>689</v>
      </c>
      <c r="M753" s="52">
        <v>2.5297619047619048E-2</v>
      </c>
      <c r="N753" s="53">
        <v>689</v>
      </c>
      <c r="O753" s="52">
        <v>2.5297619047619048E-2</v>
      </c>
      <c r="P753" s="51">
        <f t="shared" si="22"/>
        <v>1.2786647314949202</v>
      </c>
      <c r="Q753" s="50">
        <f t="shared" si="23"/>
        <v>19.393875181422381</v>
      </c>
      <c r="R753" s="39" t="s">
        <v>51</v>
      </c>
    </row>
    <row r="754" spans="1:18" x14ac:dyDescent="0.35">
      <c r="A754" s="54">
        <v>1240305</v>
      </c>
      <c r="B754" s="54">
        <v>105438</v>
      </c>
      <c r="C754" s="54" t="s">
        <v>127</v>
      </c>
      <c r="D754" s="51">
        <v>13282.29000000003</v>
      </c>
      <c r="E754" s="52">
        <v>-9.7770423519677546E-2</v>
      </c>
      <c r="F754" s="51">
        <v>13282.29000000003</v>
      </c>
      <c r="G754" s="52">
        <v>-9.7770423519677546E-2</v>
      </c>
      <c r="H754" s="53">
        <v>860</v>
      </c>
      <c r="I754" s="52">
        <v>-0.10880829015544041</v>
      </c>
      <c r="J754" s="53">
        <v>860</v>
      </c>
      <c r="K754" s="52">
        <v>-0.10880829015544041</v>
      </c>
      <c r="L754" s="53">
        <v>623</v>
      </c>
      <c r="M754" s="52">
        <v>-0.11253561253561253</v>
      </c>
      <c r="N754" s="53">
        <v>623</v>
      </c>
      <c r="O754" s="52">
        <v>-0.11253561253561253</v>
      </c>
      <c r="P754" s="51">
        <f t="shared" si="22"/>
        <v>1.3804173354735152</v>
      </c>
      <c r="Q754" s="50">
        <f t="shared" si="23"/>
        <v>21.319887640449487</v>
      </c>
      <c r="R754" s="39" t="s">
        <v>51</v>
      </c>
    </row>
    <row r="755" spans="1:18" x14ac:dyDescent="0.35">
      <c r="A755" s="54">
        <v>1250036</v>
      </c>
      <c r="B755" s="54">
        <v>105575</v>
      </c>
      <c r="C755" s="54" t="s">
        <v>126</v>
      </c>
      <c r="D755" s="51">
        <v>13232.820000000029</v>
      </c>
      <c r="E755" s="52">
        <v>-0.12691997086394705</v>
      </c>
      <c r="F755" s="51">
        <v>13232.820000000029</v>
      </c>
      <c r="G755" s="52">
        <v>-0.12691997086394705</v>
      </c>
      <c r="H755" s="53">
        <v>797</v>
      </c>
      <c r="I755" s="52">
        <v>-0.22395326192794549</v>
      </c>
      <c r="J755" s="53">
        <v>797</v>
      </c>
      <c r="K755" s="52">
        <v>-0.22395326192794549</v>
      </c>
      <c r="L755" s="53">
        <v>584</v>
      </c>
      <c r="M755" s="52">
        <v>-0.17280453257790368</v>
      </c>
      <c r="N755" s="53">
        <v>584</v>
      </c>
      <c r="O755" s="52">
        <v>-0.17280453257790368</v>
      </c>
      <c r="P755" s="51">
        <f t="shared" si="22"/>
        <v>1.3647260273972603</v>
      </c>
      <c r="Q755" s="50">
        <f t="shared" si="23"/>
        <v>22.658938356164434</v>
      </c>
      <c r="R755" s="39" t="s">
        <v>51</v>
      </c>
    </row>
    <row r="756" spans="1:18" x14ac:dyDescent="0.35">
      <c r="A756" s="54">
        <v>1240328</v>
      </c>
      <c r="B756" s="54">
        <v>105702</v>
      </c>
      <c r="C756" s="54" t="s">
        <v>125</v>
      </c>
      <c r="D756" s="51">
        <v>13183.910000000025</v>
      </c>
      <c r="E756" s="52">
        <v>-4.8799844736293251E-2</v>
      </c>
      <c r="F756" s="51">
        <v>13183.910000000025</v>
      </c>
      <c r="G756" s="52">
        <v>-4.8799844736293251E-2</v>
      </c>
      <c r="H756" s="53">
        <v>732</v>
      </c>
      <c r="I756" s="52">
        <v>-7.575757575757576E-2</v>
      </c>
      <c r="J756" s="53">
        <v>732</v>
      </c>
      <c r="K756" s="52">
        <v>-7.575757575757576E-2</v>
      </c>
      <c r="L756" s="53">
        <v>512</v>
      </c>
      <c r="M756" s="52">
        <v>-2.2900763358778626E-2</v>
      </c>
      <c r="N756" s="53">
        <v>512</v>
      </c>
      <c r="O756" s="52">
        <v>-2.2900763358778626E-2</v>
      </c>
      <c r="P756" s="51">
        <f t="shared" si="22"/>
        <v>1.4296875</v>
      </c>
      <c r="Q756" s="50">
        <f t="shared" si="23"/>
        <v>25.749824218750049</v>
      </c>
      <c r="R756" s="39" t="s">
        <v>51</v>
      </c>
    </row>
    <row r="757" spans="1:18" x14ac:dyDescent="0.35">
      <c r="A757" s="54">
        <v>1240317</v>
      </c>
      <c r="B757" s="54">
        <v>105563</v>
      </c>
      <c r="C757" s="54" t="s">
        <v>124</v>
      </c>
      <c r="D757" s="51">
        <v>13126.750000000033</v>
      </c>
      <c r="E757" s="52">
        <v>0.20330426843353958</v>
      </c>
      <c r="F757" s="51">
        <v>13126.750000000033</v>
      </c>
      <c r="G757" s="52">
        <v>0.20330426843353958</v>
      </c>
      <c r="H757" s="53">
        <v>860</v>
      </c>
      <c r="I757" s="52">
        <v>0.1256544502617801</v>
      </c>
      <c r="J757" s="53">
        <v>860</v>
      </c>
      <c r="K757" s="52">
        <v>0.1256544502617801</v>
      </c>
      <c r="L757" s="53">
        <v>572</v>
      </c>
      <c r="M757" s="52">
        <v>7.7212806026365349E-2</v>
      </c>
      <c r="N757" s="53">
        <v>572</v>
      </c>
      <c r="O757" s="52">
        <v>7.7212806026365349E-2</v>
      </c>
      <c r="P757" s="51">
        <f t="shared" si="22"/>
        <v>1.5034965034965035</v>
      </c>
      <c r="Q757" s="50">
        <f t="shared" si="23"/>
        <v>22.948863636363694</v>
      </c>
      <c r="R757" s="39" t="s">
        <v>54</v>
      </c>
    </row>
    <row r="758" spans="1:18" x14ac:dyDescent="0.35">
      <c r="A758" s="54">
        <v>1190028</v>
      </c>
      <c r="B758" s="54">
        <v>106973</v>
      </c>
      <c r="C758" s="54" t="s">
        <v>123</v>
      </c>
      <c r="D758" s="51">
        <v>12991.210000000003</v>
      </c>
      <c r="E758" s="52">
        <v>-1.2779477452585564E-2</v>
      </c>
      <c r="F758" s="51">
        <v>12991.210000000003</v>
      </c>
      <c r="G758" s="52">
        <v>-1.2779477452585564E-2</v>
      </c>
      <c r="H758" s="53">
        <v>690</v>
      </c>
      <c r="I758" s="52">
        <v>-7.5067024128686322E-2</v>
      </c>
      <c r="J758" s="53">
        <v>690</v>
      </c>
      <c r="K758" s="52">
        <v>-7.5067024128686322E-2</v>
      </c>
      <c r="L758" s="53">
        <v>449</v>
      </c>
      <c r="M758" s="52">
        <v>-0.17765567765567766</v>
      </c>
      <c r="N758" s="53">
        <v>449</v>
      </c>
      <c r="O758" s="52">
        <v>-0.17765567765567766</v>
      </c>
      <c r="P758" s="51">
        <f t="shared" si="22"/>
        <v>1.5367483296213809</v>
      </c>
      <c r="Q758" s="50">
        <f t="shared" si="23"/>
        <v>28.933652561247222</v>
      </c>
      <c r="R758" s="39" t="s">
        <v>54</v>
      </c>
    </row>
    <row r="759" spans="1:18" x14ac:dyDescent="0.35">
      <c r="A759" s="54">
        <v>1250018</v>
      </c>
      <c r="B759" s="54">
        <v>103473</v>
      </c>
      <c r="C759" s="54" t="s">
        <v>122</v>
      </c>
      <c r="D759" s="51">
        <v>12767.320000000032</v>
      </c>
      <c r="E759" s="52">
        <v>-0.13527784268506049</v>
      </c>
      <c r="F759" s="51">
        <v>12767.320000000032</v>
      </c>
      <c r="G759" s="52">
        <v>-0.13527784268506049</v>
      </c>
      <c r="H759" s="53">
        <v>706</v>
      </c>
      <c r="I759" s="52">
        <v>-0.19221967963386727</v>
      </c>
      <c r="J759" s="53">
        <v>706</v>
      </c>
      <c r="K759" s="52">
        <v>-0.19221967963386727</v>
      </c>
      <c r="L759" s="53">
        <v>402</v>
      </c>
      <c r="M759" s="52">
        <v>-0.22093023255813954</v>
      </c>
      <c r="N759" s="53">
        <v>402</v>
      </c>
      <c r="O759" s="52">
        <v>-0.22093023255813954</v>
      </c>
      <c r="P759" s="51">
        <f t="shared" si="22"/>
        <v>1.7562189054726369</v>
      </c>
      <c r="Q759" s="50">
        <f t="shared" si="23"/>
        <v>31.759502487562269</v>
      </c>
      <c r="R759" s="39" t="s">
        <v>54</v>
      </c>
    </row>
    <row r="760" spans="1:18" x14ac:dyDescent="0.35">
      <c r="A760" s="54">
        <v>1190015</v>
      </c>
      <c r="B760" s="54">
        <v>104875</v>
      </c>
      <c r="C760" s="54" t="s">
        <v>121</v>
      </c>
      <c r="D760" s="51">
        <v>12739.700000000023</v>
      </c>
      <c r="E760" s="52">
        <v>-0.18662068049656805</v>
      </c>
      <c r="F760" s="51">
        <v>12739.700000000023</v>
      </c>
      <c r="G760" s="52">
        <v>-0.18662068049656805</v>
      </c>
      <c r="H760" s="53">
        <v>650</v>
      </c>
      <c r="I760" s="52">
        <v>-0.21212121212121213</v>
      </c>
      <c r="J760" s="53">
        <v>650</v>
      </c>
      <c r="K760" s="52">
        <v>-0.21212121212121213</v>
      </c>
      <c r="L760" s="53">
        <v>465</v>
      </c>
      <c r="M760" s="52">
        <v>-0.20512820512820512</v>
      </c>
      <c r="N760" s="53">
        <v>465</v>
      </c>
      <c r="O760" s="52">
        <v>-0.20512820512820512</v>
      </c>
      <c r="P760" s="51">
        <f t="shared" si="22"/>
        <v>1.3978494623655915</v>
      </c>
      <c r="Q760" s="50">
        <f t="shared" si="23"/>
        <v>27.397204301075316</v>
      </c>
      <c r="R760" s="39" t="s">
        <v>51</v>
      </c>
    </row>
    <row r="761" spans="1:18" x14ac:dyDescent="0.35">
      <c r="A761" s="54">
        <v>1190021</v>
      </c>
      <c r="B761" s="54">
        <v>105734</v>
      </c>
      <c r="C761" s="54" t="s">
        <v>120</v>
      </c>
      <c r="D761" s="51">
        <v>12693.939999999995</v>
      </c>
      <c r="E761" s="52">
        <v>-0.15880246409618973</v>
      </c>
      <c r="F761" s="51">
        <v>12693.939999999995</v>
      </c>
      <c r="G761" s="52">
        <v>-0.15880246409618973</v>
      </c>
      <c r="H761" s="53">
        <v>692</v>
      </c>
      <c r="I761" s="52">
        <v>-0.16826923076923078</v>
      </c>
      <c r="J761" s="53">
        <v>692</v>
      </c>
      <c r="K761" s="52">
        <v>-0.16826923076923078</v>
      </c>
      <c r="L761" s="53">
        <v>516</v>
      </c>
      <c r="M761" s="52">
        <v>-0.12244897959183673</v>
      </c>
      <c r="N761" s="53">
        <v>516</v>
      </c>
      <c r="O761" s="52">
        <v>-0.12244897959183673</v>
      </c>
      <c r="P761" s="51">
        <f t="shared" si="22"/>
        <v>1.3410852713178294</v>
      </c>
      <c r="Q761" s="50">
        <f t="shared" si="23"/>
        <v>24.600658914728672</v>
      </c>
      <c r="R761" s="39" t="s">
        <v>51</v>
      </c>
    </row>
    <row r="762" spans="1:18" x14ac:dyDescent="0.35">
      <c r="A762" s="54">
        <v>1210057</v>
      </c>
      <c r="B762" s="54">
        <v>105433</v>
      </c>
      <c r="C762" s="54" t="s">
        <v>119</v>
      </c>
      <c r="D762" s="51">
        <v>12658.630000000025</v>
      </c>
      <c r="E762" s="52">
        <v>6.0438998890858603E-2</v>
      </c>
      <c r="F762" s="51">
        <v>12658.630000000025</v>
      </c>
      <c r="G762" s="52">
        <v>6.0438998890858603E-2</v>
      </c>
      <c r="H762" s="53">
        <v>802</v>
      </c>
      <c r="I762" s="52">
        <v>-7.4257425742574254E-3</v>
      </c>
      <c r="J762" s="53">
        <v>802</v>
      </c>
      <c r="K762" s="52">
        <v>-7.4257425742574254E-3</v>
      </c>
      <c r="L762" s="53">
        <v>618</v>
      </c>
      <c r="M762" s="52">
        <v>-1.2779552715654952E-2</v>
      </c>
      <c r="N762" s="53">
        <v>618</v>
      </c>
      <c r="O762" s="52">
        <v>-1.2779552715654952E-2</v>
      </c>
      <c r="P762" s="51">
        <f t="shared" si="22"/>
        <v>1.2977346278317152</v>
      </c>
      <c r="Q762" s="50">
        <f t="shared" si="23"/>
        <v>20.483220064724961</v>
      </c>
      <c r="R762" s="39" t="s">
        <v>51</v>
      </c>
    </row>
    <row r="763" spans="1:18" x14ac:dyDescent="0.35">
      <c r="A763" s="54">
        <v>1240302</v>
      </c>
      <c r="B763" s="54">
        <v>105412</v>
      </c>
      <c r="C763" s="54" t="s">
        <v>118</v>
      </c>
      <c r="D763" s="51">
        <v>12648.440000000024</v>
      </c>
      <c r="E763" s="52">
        <v>-0.18555531373187767</v>
      </c>
      <c r="F763" s="51">
        <v>12648.440000000024</v>
      </c>
      <c r="G763" s="52">
        <v>-0.18555531373187767</v>
      </c>
      <c r="H763" s="53">
        <v>802</v>
      </c>
      <c r="I763" s="52">
        <v>-0.25464684014869887</v>
      </c>
      <c r="J763" s="53">
        <v>802</v>
      </c>
      <c r="K763" s="52">
        <v>-0.25464684014869887</v>
      </c>
      <c r="L763" s="53">
        <v>571</v>
      </c>
      <c r="M763" s="52">
        <v>-0.23765020026702269</v>
      </c>
      <c r="N763" s="53">
        <v>571</v>
      </c>
      <c r="O763" s="52">
        <v>-0.23765020026702269</v>
      </c>
      <c r="P763" s="51">
        <f t="shared" si="22"/>
        <v>1.4045534150612959</v>
      </c>
      <c r="Q763" s="50">
        <f t="shared" si="23"/>
        <v>22.151383537653281</v>
      </c>
      <c r="R763" s="39" t="s">
        <v>51</v>
      </c>
    </row>
    <row r="764" spans="1:18" x14ac:dyDescent="0.35">
      <c r="A764" s="54">
        <v>1210077</v>
      </c>
      <c r="B764" s="54">
        <v>106845</v>
      </c>
      <c r="C764" s="54" t="s">
        <v>117</v>
      </c>
      <c r="D764" s="51">
        <v>12616.390000000027</v>
      </c>
      <c r="E764" s="52">
        <v>-0.15793840112022217</v>
      </c>
      <c r="F764" s="51">
        <v>12616.390000000027</v>
      </c>
      <c r="G764" s="52">
        <v>-0.15793840112022217</v>
      </c>
      <c r="H764" s="53">
        <v>843</v>
      </c>
      <c r="I764" s="52">
        <v>-0.15784215784215785</v>
      </c>
      <c r="J764" s="53">
        <v>843</v>
      </c>
      <c r="K764" s="52">
        <v>-0.15784215784215785</v>
      </c>
      <c r="L764" s="53">
        <v>568</v>
      </c>
      <c r="M764" s="52">
        <v>-0.1791907514450867</v>
      </c>
      <c r="N764" s="53">
        <v>568</v>
      </c>
      <c r="O764" s="52">
        <v>-0.1791907514450867</v>
      </c>
      <c r="P764" s="51">
        <f t="shared" si="22"/>
        <v>1.4841549295774648</v>
      </c>
      <c r="Q764" s="50">
        <f t="shared" si="23"/>
        <v>22.211954225352159</v>
      </c>
      <c r="R764" s="39" t="s">
        <v>51</v>
      </c>
    </row>
    <row r="765" spans="1:18" x14ac:dyDescent="0.35">
      <c r="A765" s="54">
        <v>1270024</v>
      </c>
      <c r="B765" s="54">
        <v>105476</v>
      </c>
      <c r="C765" s="54" t="s">
        <v>116</v>
      </c>
      <c r="D765" s="51">
        <v>12589.370000000006</v>
      </c>
      <c r="E765" s="52">
        <v>2.0068564353827176E-2</v>
      </c>
      <c r="F765" s="51">
        <v>12589.370000000006</v>
      </c>
      <c r="G765" s="52">
        <v>2.0068564353827176E-2</v>
      </c>
      <c r="H765" s="53">
        <v>783</v>
      </c>
      <c r="I765" s="52">
        <v>-3.3333333333333333E-2</v>
      </c>
      <c r="J765" s="53">
        <v>783</v>
      </c>
      <c r="K765" s="52">
        <v>-3.3333333333333333E-2</v>
      </c>
      <c r="L765" s="53">
        <v>548</v>
      </c>
      <c r="M765" s="52">
        <v>0</v>
      </c>
      <c r="N765" s="53">
        <v>548</v>
      </c>
      <c r="O765" s="52">
        <v>0</v>
      </c>
      <c r="P765" s="51">
        <f t="shared" si="22"/>
        <v>1.4288321167883211</v>
      </c>
      <c r="Q765" s="50">
        <f t="shared" si="23"/>
        <v>22.97330291970804</v>
      </c>
      <c r="R765" s="39" t="s">
        <v>51</v>
      </c>
    </row>
    <row r="766" spans="1:18" x14ac:dyDescent="0.35">
      <c r="A766" s="54">
        <v>1220011</v>
      </c>
      <c r="B766" s="54">
        <v>106967</v>
      </c>
      <c r="C766" s="54" t="s">
        <v>115</v>
      </c>
      <c r="D766" s="51">
        <v>12433.819999999927</v>
      </c>
      <c r="E766" s="52">
        <v>-0.71929270852593563</v>
      </c>
      <c r="F766" s="51">
        <v>12433.819999999927</v>
      </c>
      <c r="G766" s="52">
        <v>-0.63010248933264312</v>
      </c>
      <c r="H766" s="53">
        <v>766</v>
      </c>
      <c r="I766" s="52">
        <v>-0.73785078713210128</v>
      </c>
      <c r="J766" s="53">
        <v>766</v>
      </c>
      <c r="K766" s="52">
        <v>-0.6640350877192982</v>
      </c>
      <c r="L766" s="53">
        <v>506</v>
      </c>
      <c r="M766" s="52">
        <v>-0.74572864321608046</v>
      </c>
      <c r="N766" s="53">
        <v>506</v>
      </c>
      <c r="O766" s="52">
        <v>-0.67206740116655861</v>
      </c>
      <c r="P766" s="51">
        <f t="shared" si="22"/>
        <v>1.5138339920948616</v>
      </c>
      <c r="Q766" s="50">
        <f t="shared" si="23"/>
        <v>24.572766798418829</v>
      </c>
      <c r="R766" s="39" t="s">
        <v>54</v>
      </c>
    </row>
    <row r="767" spans="1:18" x14ac:dyDescent="0.35">
      <c r="A767" s="54">
        <v>1250035</v>
      </c>
      <c r="B767" s="54">
        <v>105571</v>
      </c>
      <c r="C767" s="54" t="s">
        <v>114</v>
      </c>
      <c r="D767" s="51">
        <v>12426.900000000018</v>
      </c>
      <c r="E767" s="52">
        <v>-0.17603391104913729</v>
      </c>
      <c r="F767" s="51">
        <v>12426.900000000018</v>
      </c>
      <c r="G767" s="52">
        <v>-0.17603391104913729</v>
      </c>
      <c r="H767" s="53">
        <v>724</v>
      </c>
      <c r="I767" s="52">
        <v>-0.17633674630261661</v>
      </c>
      <c r="J767" s="53">
        <v>724</v>
      </c>
      <c r="K767" s="52">
        <v>-0.17633674630261661</v>
      </c>
      <c r="L767" s="53">
        <v>519</v>
      </c>
      <c r="M767" s="52">
        <v>-0.20276497695852536</v>
      </c>
      <c r="N767" s="53">
        <v>519</v>
      </c>
      <c r="O767" s="52">
        <v>-0.20276497695852536</v>
      </c>
      <c r="P767" s="51">
        <f t="shared" si="22"/>
        <v>1.394990366088632</v>
      </c>
      <c r="Q767" s="50">
        <f t="shared" si="23"/>
        <v>23.943930635838186</v>
      </c>
      <c r="R767" s="39" t="s">
        <v>51</v>
      </c>
    </row>
    <row r="768" spans="1:18" x14ac:dyDescent="0.35">
      <c r="A768" s="54">
        <v>1240409</v>
      </c>
      <c r="B768" s="54">
        <v>107316</v>
      </c>
      <c r="C768" s="54" t="s">
        <v>113</v>
      </c>
      <c r="D768" s="51">
        <v>12300.760000000044</v>
      </c>
      <c r="E768" s="52">
        <v>-0.19329545335305934</v>
      </c>
      <c r="F768" s="51">
        <v>9707.5100000000348</v>
      </c>
      <c r="G768" s="52">
        <v>-0.36336515356606885</v>
      </c>
      <c r="H768" s="53">
        <v>829</v>
      </c>
      <c r="I768" s="52">
        <v>-0.18325123152709361</v>
      </c>
      <c r="J768" s="53">
        <v>648</v>
      </c>
      <c r="K768" s="52">
        <v>-0.36157635467980298</v>
      </c>
      <c r="L768" s="53">
        <v>585</v>
      </c>
      <c r="M768" s="52">
        <v>-0.18410041841004185</v>
      </c>
      <c r="N768" s="53">
        <v>456</v>
      </c>
      <c r="O768" s="52">
        <v>-0.36401673640167365</v>
      </c>
      <c r="P768" s="51">
        <f t="shared" si="22"/>
        <v>1.4170940170940172</v>
      </c>
      <c r="Q768" s="50">
        <f t="shared" si="23"/>
        <v>21.026940170940247</v>
      </c>
      <c r="R768" s="39" t="s">
        <v>51</v>
      </c>
    </row>
    <row r="769" spans="1:18" x14ac:dyDescent="0.35">
      <c r="A769" s="54">
        <v>1260025</v>
      </c>
      <c r="B769" s="54">
        <v>105288</v>
      </c>
      <c r="C769" s="54" t="s">
        <v>112</v>
      </c>
      <c r="D769" s="51">
        <v>12265.65000000002</v>
      </c>
      <c r="E769" s="52">
        <v>-7.8566019706297494E-2</v>
      </c>
      <c r="F769" s="51">
        <v>12265.65000000002</v>
      </c>
      <c r="G769" s="52">
        <v>-7.8566019706297494E-2</v>
      </c>
      <c r="H769" s="53">
        <v>643</v>
      </c>
      <c r="I769" s="52">
        <v>-0.10069930069930071</v>
      </c>
      <c r="J769" s="53">
        <v>643</v>
      </c>
      <c r="K769" s="52">
        <v>-0.10069930069930071</v>
      </c>
      <c r="L769" s="53">
        <v>439</v>
      </c>
      <c r="M769" s="52">
        <v>-0.142578125</v>
      </c>
      <c r="N769" s="53">
        <v>439</v>
      </c>
      <c r="O769" s="52">
        <v>-0.142578125</v>
      </c>
      <c r="P769" s="51">
        <f t="shared" si="22"/>
        <v>1.4646924829157175</v>
      </c>
      <c r="Q769" s="50">
        <f t="shared" si="23"/>
        <v>27.939977220956763</v>
      </c>
      <c r="R769" s="39" t="s">
        <v>51</v>
      </c>
    </row>
    <row r="770" spans="1:18" x14ac:dyDescent="0.35">
      <c r="A770" s="54">
        <v>1260034</v>
      </c>
      <c r="B770" s="54">
        <v>107883</v>
      </c>
      <c r="C770" s="54" t="s">
        <v>111</v>
      </c>
      <c r="D770" s="51">
        <v>12263.680000000037</v>
      </c>
      <c r="E770" s="52"/>
      <c r="F770" s="51"/>
      <c r="G770" s="52"/>
      <c r="H770" s="53">
        <v>754</v>
      </c>
      <c r="I770" s="52" t="s">
        <v>52</v>
      </c>
      <c r="J770" s="53"/>
      <c r="K770" s="52"/>
      <c r="L770" s="53">
        <v>560</v>
      </c>
      <c r="M770" s="52" t="s">
        <v>52</v>
      </c>
      <c r="N770" s="53"/>
      <c r="O770" s="52"/>
      <c r="P770" s="51">
        <f t="shared" si="22"/>
        <v>1.3464285714285715</v>
      </c>
      <c r="Q770" s="50">
        <f t="shared" si="23"/>
        <v>21.899428571428636</v>
      </c>
      <c r="R770" s="39" t="s">
        <v>51</v>
      </c>
    </row>
    <row r="771" spans="1:18" x14ac:dyDescent="0.35">
      <c r="A771" s="54">
        <v>1060009</v>
      </c>
      <c r="B771" s="54">
        <v>105245</v>
      </c>
      <c r="C771" s="54" t="s">
        <v>110</v>
      </c>
      <c r="D771" s="51">
        <v>12209.920000000033</v>
      </c>
      <c r="E771" s="52">
        <v>-0.18224967869099978</v>
      </c>
      <c r="F771" s="51">
        <v>12209.920000000033</v>
      </c>
      <c r="G771" s="52">
        <v>-0.18224967869099978</v>
      </c>
      <c r="H771" s="53">
        <v>652</v>
      </c>
      <c r="I771" s="52">
        <v>-0.2039072039072039</v>
      </c>
      <c r="J771" s="53">
        <v>652</v>
      </c>
      <c r="K771" s="52">
        <v>-0.2039072039072039</v>
      </c>
      <c r="L771" s="53">
        <v>456</v>
      </c>
      <c r="M771" s="52">
        <v>-0.21107266435986158</v>
      </c>
      <c r="N771" s="53">
        <v>456</v>
      </c>
      <c r="O771" s="52">
        <v>-0.21107266435986158</v>
      </c>
      <c r="P771" s="51">
        <f t="shared" si="22"/>
        <v>1.4298245614035088</v>
      </c>
      <c r="Q771" s="50">
        <f t="shared" si="23"/>
        <v>26.776140350877267</v>
      </c>
      <c r="R771" s="39" t="s">
        <v>51</v>
      </c>
    </row>
    <row r="772" spans="1:18" x14ac:dyDescent="0.35">
      <c r="A772" s="54">
        <v>1220007</v>
      </c>
      <c r="B772" s="54">
        <v>105252</v>
      </c>
      <c r="C772" s="54" t="s">
        <v>109</v>
      </c>
      <c r="D772" s="51">
        <v>12101.61000000001</v>
      </c>
      <c r="E772" s="52">
        <v>-0.21417453523958363</v>
      </c>
      <c r="F772" s="51">
        <v>12101.61000000001</v>
      </c>
      <c r="G772" s="52">
        <v>-0.21417453523958363</v>
      </c>
      <c r="H772" s="53">
        <v>677</v>
      </c>
      <c r="I772" s="52">
        <v>-0.25275938189845476</v>
      </c>
      <c r="J772" s="53">
        <v>677</v>
      </c>
      <c r="K772" s="52">
        <v>-0.25275938189845476</v>
      </c>
      <c r="L772" s="53">
        <v>482</v>
      </c>
      <c r="M772" s="52">
        <v>-0.27518796992481204</v>
      </c>
      <c r="N772" s="53">
        <v>482</v>
      </c>
      <c r="O772" s="52">
        <v>-0.27518796992481204</v>
      </c>
      <c r="P772" s="51">
        <f t="shared" si="22"/>
        <v>1.404564315352697</v>
      </c>
      <c r="Q772" s="50">
        <f t="shared" si="23"/>
        <v>25.1070746887967</v>
      </c>
      <c r="R772" s="39" t="s">
        <v>51</v>
      </c>
    </row>
    <row r="773" spans="1:18" x14ac:dyDescent="0.35">
      <c r="A773" s="54">
        <v>1240297</v>
      </c>
      <c r="B773" s="54">
        <v>105281</v>
      </c>
      <c r="C773" s="54" t="s">
        <v>108</v>
      </c>
      <c r="D773" s="51">
        <v>12064.300000000032</v>
      </c>
      <c r="E773" s="52">
        <v>-0.29178796198620593</v>
      </c>
      <c r="F773" s="51">
        <v>12064.300000000032</v>
      </c>
      <c r="G773" s="52">
        <v>-0.29178796198620593</v>
      </c>
      <c r="H773" s="53">
        <v>779</v>
      </c>
      <c r="I773" s="52">
        <v>-0.31905594405594406</v>
      </c>
      <c r="J773" s="53">
        <v>779</v>
      </c>
      <c r="K773" s="52">
        <v>-0.31905594405594406</v>
      </c>
      <c r="L773" s="53">
        <v>527</v>
      </c>
      <c r="M773" s="52">
        <v>-0.32522407170294493</v>
      </c>
      <c r="N773" s="53">
        <v>527</v>
      </c>
      <c r="O773" s="52">
        <v>-0.32522407170294493</v>
      </c>
      <c r="P773" s="51">
        <f t="shared" ref="P773:P828" si="24">H773/L773</f>
        <v>1.4781783681214422</v>
      </c>
      <c r="Q773" s="50">
        <f t="shared" ref="Q773:Q828" si="25">D773/L773</f>
        <v>22.892409867172738</v>
      </c>
      <c r="R773" s="39" t="s">
        <v>51</v>
      </c>
    </row>
    <row r="774" spans="1:18" x14ac:dyDescent="0.35">
      <c r="A774" s="54">
        <v>1060012</v>
      </c>
      <c r="B774" s="54">
        <v>107339</v>
      </c>
      <c r="C774" s="54" t="s">
        <v>107</v>
      </c>
      <c r="D774" s="51">
        <v>11758.939999999999</v>
      </c>
      <c r="E774" s="52">
        <v>14.773226022803486</v>
      </c>
      <c r="F774" s="51">
        <v>2934.3800000000006</v>
      </c>
      <c r="G774" s="52">
        <v>2.9361234071093234</v>
      </c>
      <c r="H774" s="53">
        <v>587</v>
      </c>
      <c r="I774" s="52">
        <v>14.864864864864865</v>
      </c>
      <c r="J774" s="53">
        <v>146</v>
      </c>
      <c r="K774" s="52">
        <v>2.9459459459459461</v>
      </c>
      <c r="L774" s="53">
        <v>421</v>
      </c>
      <c r="M774" s="52">
        <v>14.592592592592593</v>
      </c>
      <c r="N774" s="53">
        <v>105</v>
      </c>
      <c r="O774" s="52">
        <v>2.8888888888888888</v>
      </c>
      <c r="P774" s="51">
        <f t="shared" si="24"/>
        <v>1.3942992874109263</v>
      </c>
      <c r="Q774" s="50">
        <f t="shared" si="25"/>
        <v>27.930973871733965</v>
      </c>
      <c r="R774" s="39" t="s">
        <v>51</v>
      </c>
    </row>
    <row r="775" spans="1:18" x14ac:dyDescent="0.35">
      <c r="A775" s="54">
        <v>1240393</v>
      </c>
      <c r="B775" s="54">
        <v>106959</v>
      </c>
      <c r="C775" s="54" t="s">
        <v>106</v>
      </c>
      <c r="D775" s="51">
        <v>11734.350000000033</v>
      </c>
      <c r="E775" s="52">
        <v>-0.35663519386721559</v>
      </c>
      <c r="F775" s="51">
        <v>11734.350000000033</v>
      </c>
      <c r="G775" s="52">
        <v>-0.35663519386721559</v>
      </c>
      <c r="H775" s="53">
        <v>741</v>
      </c>
      <c r="I775" s="52">
        <v>-0.36774744027303752</v>
      </c>
      <c r="J775" s="53">
        <v>741</v>
      </c>
      <c r="K775" s="52">
        <v>-0.36774744027303752</v>
      </c>
      <c r="L775" s="53">
        <v>428</v>
      </c>
      <c r="M775" s="52">
        <v>-0.42318059299191374</v>
      </c>
      <c r="N775" s="53">
        <v>428</v>
      </c>
      <c r="O775" s="52">
        <v>-0.42318059299191374</v>
      </c>
      <c r="P775" s="51">
        <f t="shared" si="24"/>
        <v>1.7313084112149533</v>
      </c>
      <c r="Q775" s="50">
        <f t="shared" si="25"/>
        <v>27.416705607476715</v>
      </c>
      <c r="R775" s="39" t="s">
        <v>54</v>
      </c>
    </row>
    <row r="776" spans="1:18" x14ac:dyDescent="0.35">
      <c r="A776" s="54">
        <v>1240376</v>
      </c>
      <c r="B776" s="54">
        <v>106852</v>
      </c>
      <c r="C776" s="54" t="s">
        <v>105</v>
      </c>
      <c r="D776" s="51">
        <v>11733.640000000036</v>
      </c>
      <c r="E776" s="52">
        <v>-7.7805748525770713E-2</v>
      </c>
      <c r="F776" s="51">
        <v>11733.640000000036</v>
      </c>
      <c r="G776" s="52">
        <v>-7.7805748525770713E-2</v>
      </c>
      <c r="H776" s="53">
        <v>757</v>
      </c>
      <c r="I776" s="52">
        <v>-0.10414201183431952</v>
      </c>
      <c r="J776" s="53">
        <v>757</v>
      </c>
      <c r="K776" s="52">
        <v>-0.10414201183431952</v>
      </c>
      <c r="L776" s="53">
        <v>543</v>
      </c>
      <c r="M776" s="52">
        <v>0</v>
      </c>
      <c r="N776" s="53">
        <v>543</v>
      </c>
      <c r="O776" s="52">
        <v>0</v>
      </c>
      <c r="P776" s="51">
        <f t="shared" si="24"/>
        <v>1.3941068139963169</v>
      </c>
      <c r="Q776" s="50">
        <f t="shared" si="25"/>
        <v>21.608913443830637</v>
      </c>
      <c r="R776" s="39" t="s">
        <v>51</v>
      </c>
    </row>
    <row r="777" spans="1:18" x14ac:dyDescent="0.35">
      <c r="A777" s="54">
        <v>1180010</v>
      </c>
      <c r="B777" s="54">
        <v>107782</v>
      </c>
      <c r="C777" s="54" t="s">
        <v>104</v>
      </c>
      <c r="D777" s="51">
        <v>11629.140000000007</v>
      </c>
      <c r="E777" s="52"/>
      <c r="F777" s="51"/>
      <c r="G777" s="52"/>
      <c r="H777" s="53">
        <v>627</v>
      </c>
      <c r="I777" s="52" t="s">
        <v>52</v>
      </c>
      <c r="J777" s="53"/>
      <c r="K777" s="52"/>
      <c r="L777" s="53">
        <v>433</v>
      </c>
      <c r="M777" s="52" t="s">
        <v>52</v>
      </c>
      <c r="N777" s="53"/>
      <c r="O777" s="52"/>
      <c r="P777" s="51">
        <f t="shared" si="24"/>
        <v>1.4480369515011546</v>
      </c>
      <c r="Q777" s="50">
        <f t="shared" si="25"/>
        <v>26.857136258660525</v>
      </c>
      <c r="R777" s="39" t="s">
        <v>51</v>
      </c>
    </row>
    <row r="778" spans="1:18" x14ac:dyDescent="0.35">
      <c r="A778" s="54">
        <v>1240298</v>
      </c>
      <c r="B778" s="54">
        <v>105283</v>
      </c>
      <c r="C778" s="54" t="s">
        <v>103</v>
      </c>
      <c r="D778" s="51">
        <v>11566.730000000021</v>
      </c>
      <c r="E778" s="52">
        <v>-0.26233012693166924</v>
      </c>
      <c r="F778" s="51">
        <v>11566.730000000021</v>
      </c>
      <c r="G778" s="52">
        <v>-0.26233012693166924</v>
      </c>
      <c r="H778" s="53">
        <v>724</v>
      </c>
      <c r="I778" s="52">
        <v>-0.32273152478952294</v>
      </c>
      <c r="J778" s="53">
        <v>724</v>
      </c>
      <c r="K778" s="52">
        <v>-0.32273152478952294</v>
      </c>
      <c r="L778" s="53">
        <v>501</v>
      </c>
      <c r="M778" s="52">
        <v>-0.31369863013698629</v>
      </c>
      <c r="N778" s="53">
        <v>501</v>
      </c>
      <c r="O778" s="52">
        <v>-0.31369863013698629</v>
      </c>
      <c r="P778" s="51">
        <f t="shared" si="24"/>
        <v>1.4451097804391217</v>
      </c>
      <c r="Q778" s="50">
        <f t="shared" si="25"/>
        <v>23.087285429141758</v>
      </c>
      <c r="R778" s="39" t="s">
        <v>51</v>
      </c>
    </row>
    <row r="779" spans="1:18" x14ac:dyDescent="0.35">
      <c r="A779" s="54">
        <v>1240224</v>
      </c>
      <c r="B779" s="54">
        <v>108374</v>
      </c>
      <c r="C779" s="54" t="s">
        <v>102</v>
      </c>
      <c r="D779" s="51">
        <v>11487.940000000046</v>
      </c>
      <c r="E779" s="52"/>
      <c r="F779" s="51">
        <v>11487.940000000046</v>
      </c>
      <c r="G779" s="52"/>
      <c r="H779" s="53">
        <v>825</v>
      </c>
      <c r="I779" s="52" t="s">
        <v>52</v>
      </c>
      <c r="J779" s="53">
        <v>825</v>
      </c>
      <c r="K779" s="52"/>
      <c r="L779" s="53">
        <v>576</v>
      </c>
      <c r="M779" s="52" t="s">
        <v>52</v>
      </c>
      <c r="N779" s="53">
        <v>576</v>
      </c>
      <c r="O779" s="52"/>
      <c r="P779" s="51">
        <f t="shared" si="24"/>
        <v>1.4322916666666667</v>
      </c>
      <c r="Q779" s="50">
        <f t="shared" si="25"/>
        <v>19.944340277777858</v>
      </c>
      <c r="R779" s="39" t="s">
        <v>51</v>
      </c>
    </row>
    <row r="780" spans="1:18" x14ac:dyDescent="0.35">
      <c r="A780" s="54">
        <v>1240397</v>
      </c>
      <c r="B780" s="54">
        <v>107012</v>
      </c>
      <c r="C780" s="54" t="s">
        <v>101</v>
      </c>
      <c r="D780" s="51">
        <v>10697.15000000004</v>
      </c>
      <c r="E780" s="52">
        <v>0.54079439750411662</v>
      </c>
      <c r="F780" s="51">
        <v>10697.15000000004</v>
      </c>
      <c r="G780" s="52">
        <v>0.54079439750411662</v>
      </c>
      <c r="H780" s="53">
        <v>662</v>
      </c>
      <c r="I780" s="52">
        <v>0.42980561555075592</v>
      </c>
      <c r="J780" s="53">
        <v>662</v>
      </c>
      <c r="K780" s="52">
        <v>0.42980561555075592</v>
      </c>
      <c r="L780" s="53">
        <v>491</v>
      </c>
      <c r="M780" s="52">
        <v>0.50613496932515334</v>
      </c>
      <c r="N780" s="53">
        <v>491</v>
      </c>
      <c r="O780" s="52">
        <v>0.50613496932515334</v>
      </c>
      <c r="P780" s="51">
        <f t="shared" si="24"/>
        <v>1.3482688391038697</v>
      </c>
      <c r="Q780" s="50">
        <f t="shared" si="25"/>
        <v>21.786456211812709</v>
      </c>
      <c r="R780" s="39" t="s">
        <v>51</v>
      </c>
    </row>
    <row r="781" spans="1:18" x14ac:dyDescent="0.35">
      <c r="A781" s="54">
        <v>1240285</v>
      </c>
      <c r="B781" s="54">
        <v>105020</v>
      </c>
      <c r="C781" s="54" t="s">
        <v>100</v>
      </c>
      <c r="D781" s="51">
        <v>10689.150000000045</v>
      </c>
      <c r="E781" s="52">
        <v>-0.1160512714492434</v>
      </c>
      <c r="F781" s="51">
        <v>10689.150000000045</v>
      </c>
      <c r="G781" s="52">
        <v>-0.1160512714492434</v>
      </c>
      <c r="H781" s="53">
        <v>650</v>
      </c>
      <c r="I781" s="52">
        <v>-0.1591203104786546</v>
      </c>
      <c r="J781" s="53">
        <v>650</v>
      </c>
      <c r="K781" s="52">
        <v>-0.1591203104786546</v>
      </c>
      <c r="L781" s="53">
        <v>466</v>
      </c>
      <c r="M781" s="52">
        <v>-0.17229129662522202</v>
      </c>
      <c r="N781" s="53">
        <v>466</v>
      </c>
      <c r="O781" s="52">
        <v>-0.17229129662522202</v>
      </c>
      <c r="P781" s="51">
        <f t="shared" si="24"/>
        <v>1.3948497854077253</v>
      </c>
      <c r="Q781" s="50">
        <f t="shared" si="25"/>
        <v>22.938090128755462</v>
      </c>
      <c r="R781" s="39" t="s">
        <v>51</v>
      </c>
    </row>
    <row r="782" spans="1:18" x14ac:dyDescent="0.35">
      <c r="A782" s="54">
        <v>1240257</v>
      </c>
      <c r="B782" s="54">
        <v>104683</v>
      </c>
      <c r="C782" s="54" t="s">
        <v>99</v>
      </c>
      <c r="D782" s="51">
        <v>10571.550000000012</v>
      </c>
      <c r="E782" s="52">
        <v>-0.16697332577914439</v>
      </c>
      <c r="F782" s="51">
        <v>10571.550000000012</v>
      </c>
      <c r="G782" s="52">
        <v>-0.16697332577914439</v>
      </c>
      <c r="H782" s="53">
        <v>594</v>
      </c>
      <c r="I782" s="52">
        <v>-0.23748395378690629</v>
      </c>
      <c r="J782" s="53">
        <v>594</v>
      </c>
      <c r="K782" s="52">
        <v>-0.23748395378690629</v>
      </c>
      <c r="L782" s="53">
        <v>429</v>
      </c>
      <c r="M782" s="52">
        <v>-0.19962686567164178</v>
      </c>
      <c r="N782" s="53">
        <v>429</v>
      </c>
      <c r="O782" s="52">
        <v>-0.19962686567164178</v>
      </c>
      <c r="P782" s="51">
        <f t="shared" si="24"/>
        <v>1.3846153846153846</v>
      </c>
      <c r="Q782" s="50">
        <f t="shared" si="25"/>
        <v>24.642307692307721</v>
      </c>
      <c r="R782" s="39" t="s">
        <v>51</v>
      </c>
    </row>
    <row r="783" spans="1:18" x14ac:dyDescent="0.35">
      <c r="A783" s="54">
        <v>1210055</v>
      </c>
      <c r="B783" s="54">
        <v>108143</v>
      </c>
      <c r="C783" s="54" t="s">
        <v>98</v>
      </c>
      <c r="D783" s="51">
        <v>10194.72000000003</v>
      </c>
      <c r="E783" s="52"/>
      <c r="F783" s="51">
        <v>10194.72000000003</v>
      </c>
      <c r="G783" s="52"/>
      <c r="H783" s="53">
        <v>623</v>
      </c>
      <c r="I783" s="52" t="s">
        <v>52</v>
      </c>
      <c r="J783" s="53">
        <v>623</v>
      </c>
      <c r="K783" s="52"/>
      <c r="L783" s="53">
        <v>429</v>
      </c>
      <c r="M783" s="52" t="s">
        <v>52</v>
      </c>
      <c r="N783" s="53">
        <v>429</v>
      </c>
      <c r="O783" s="52"/>
      <c r="P783" s="51">
        <f t="shared" si="24"/>
        <v>1.4522144522144522</v>
      </c>
      <c r="Q783" s="50">
        <f t="shared" si="25"/>
        <v>23.763916083916154</v>
      </c>
      <c r="R783" s="39" t="s">
        <v>51</v>
      </c>
    </row>
    <row r="784" spans="1:18" x14ac:dyDescent="0.35">
      <c r="A784" s="54">
        <v>1240348</v>
      </c>
      <c r="B784" s="54">
        <v>106395</v>
      </c>
      <c r="C784" s="54" t="s">
        <v>97</v>
      </c>
      <c r="D784" s="51">
        <v>10093.690000000024</v>
      </c>
      <c r="E784" s="52">
        <v>-0.42216175616927243</v>
      </c>
      <c r="F784" s="51">
        <v>10093.690000000024</v>
      </c>
      <c r="G784" s="52">
        <v>-0.17637761479987199</v>
      </c>
      <c r="H784" s="53">
        <v>639</v>
      </c>
      <c r="I784" s="52">
        <v>-0.44143356643356646</v>
      </c>
      <c r="J784" s="53">
        <v>639</v>
      </c>
      <c r="K784" s="52">
        <v>-0.23197115384615385</v>
      </c>
      <c r="L784" s="53">
        <v>489</v>
      </c>
      <c r="M784" s="52">
        <v>-0.44431818181818183</v>
      </c>
      <c r="N784" s="53">
        <v>489</v>
      </c>
      <c r="O784" s="52">
        <v>-0.22992125984251968</v>
      </c>
      <c r="P784" s="51">
        <f t="shared" si="24"/>
        <v>1.3067484662576687</v>
      </c>
      <c r="Q784" s="50">
        <f t="shared" si="25"/>
        <v>20.641492842535836</v>
      </c>
      <c r="R784" s="39" t="s">
        <v>51</v>
      </c>
    </row>
    <row r="785" spans="1:18" x14ac:dyDescent="0.35">
      <c r="A785" s="54">
        <v>1210092</v>
      </c>
      <c r="B785" s="54">
        <v>107716</v>
      </c>
      <c r="C785" s="54" t="s">
        <v>96</v>
      </c>
      <c r="D785" s="51">
        <v>10050.790000000028</v>
      </c>
      <c r="E785" s="52"/>
      <c r="F785" s="51"/>
      <c r="G785" s="52"/>
      <c r="H785" s="53">
        <v>566</v>
      </c>
      <c r="I785" s="52" t="s">
        <v>52</v>
      </c>
      <c r="J785" s="53"/>
      <c r="K785" s="52"/>
      <c r="L785" s="53">
        <v>444</v>
      </c>
      <c r="M785" s="52" t="s">
        <v>52</v>
      </c>
      <c r="N785" s="53"/>
      <c r="O785" s="52"/>
      <c r="P785" s="51">
        <f t="shared" si="24"/>
        <v>1.2747747747747749</v>
      </c>
      <c r="Q785" s="50">
        <f t="shared" si="25"/>
        <v>22.636914414414477</v>
      </c>
      <c r="R785" s="39" t="s">
        <v>51</v>
      </c>
    </row>
    <row r="786" spans="1:18" x14ac:dyDescent="0.35">
      <c r="A786" s="54">
        <v>1210061</v>
      </c>
      <c r="B786" s="54">
        <v>105554</v>
      </c>
      <c r="C786" s="54" t="s">
        <v>95</v>
      </c>
      <c r="D786" s="51">
        <v>9976.6300000000319</v>
      </c>
      <c r="E786" s="52">
        <v>4.4917294823819003E-2</v>
      </c>
      <c r="F786" s="51">
        <v>9976.6300000000319</v>
      </c>
      <c r="G786" s="52">
        <v>4.4917294823819003E-2</v>
      </c>
      <c r="H786" s="53">
        <v>571</v>
      </c>
      <c r="I786" s="52">
        <v>1.7825311942959002E-2</v>
      </c>
      <c r="J786" s="53">
        <v>571</v>
      </c>
      <c r="K786" s="52">
        <v>1.7825311942959002E-2</v>
      </c>
      <c r="L786" s="53">
        <v>443</v>
      </c>
      <c r="M786" s="52">
        <v>4.5351473922902496E-3</v>
      </c>
      <c r="N786" s="53">
        <v>443</v>
      </c>
      <c r="O786" s="52">
        <v>4.5351473922902496E-3</v>
      </c>
      <c r="P786" s="51">
        <f t="shared" si="24"/>
        <v>1.2889390519187358</v>
      </c>
      <c r="Q786" s="50">
        <f t="shared" si="25"/>
        <v>22.520609480812713</v>
      </c>
      <c r="R786" s="39" t="s">
        <v>51</v>
      </c>
    </row>
    <row r="787" spans="1:18" x14ac:dyDescent="0.35">
      <c r="A787" s="54">
        <v>1090004</v>
      </c>
      <c r="B787" s="54">
        <v>107189</v>
      </c>
      <c r="C787" s="54" t="s">
        <v>94</v>
      </c>
      <c r="D787" s="51">
        <v>9940.360000000026</v>
      </c>
      <c r="E787" s="52"/>
      <c r="F787" s="51">
        <v>5315.6700000000092</v>
      </c>
      <c r="G787" s="52"/>
      <c r="H787" s="53">
        <v>596</v>
      </c>
      <c r="I787" s="52" t="s">
        <v>52</v>
      </c>
      <c r="J787" s="53">
        <v>326</v>
      </c>
      <c r="K787" s="52"/>
      <c r="L787" s="53">
        <v>410</v>
      </c>
      <c r="M787" s="52" t="s">
        <v>52</v>
      </c>
      <c r="N787" s="53">
        <v>234</v>
      </c>
      <c r="O787" s="52"/>
      <c r="P787" s="51">
        <f t="shared" si="24"/>
        <v>1.4536585365853658</v>
      </c>
      <c r="Q787" s="50">
        <f t="shared" si="25"/>
        <v>24.244780487804942</v>
      </c>
      <c r="R787" s="39" t="s">
        <v>51</v>
      </c>
    </row>
    <row r="788" spans="1:18" x14ac:dyDescent="0.35">
      <c r="A788" s="54">
        <v>1060013</v>
      </c>
      <c r="B788" s="54">
        <v>107390</v>
      </c>
      <c r="C788" s="54" t="s">
        <v>93</v>
      </c>
      <c r="D788" s="51">
        <v>9894.2600000000057</v>
      </c>
      <c r="E788" s="52"/>
      <c r="F788" s="51">
        <v>2595.7300000000005</v>
      </c>
      <c r="G788" s="52"/>
      <c r="H788" s="53">
        <v>448</v>
      </c>
      <c r="I788" s="52" t="s">
        <v>52</v>
      </c>
      <c r="J788" s="53">
        <v>113</v>
      </c>
      <c r="K788" s="52"/>
      <c r="L788" s="53">
        <v>306</v>
      </c>
      <c r="M788" s="52" t="s">
        <v>52</v>
      </c>
      <c r="N788" s="53">
        <v>78</v>
      </c>
      <c r="O788" s="52"/>
      <c r="P788" s="51">
        <f t="shared" si="24"/>
        <v>1.4640522875816993</v>
      </c>
      <c r="Q788" s="50">
        <f t="shared" si="25"/>
        <v>32.334183006535966</v>
      </c>
      <c r="R788" s="39" t="s">
        <v>51</v>
      </c>
    </row>
    <row r="789" spans="1:18" x14ac:dyDescent="0.35">
      <c r="A789" s="54">
        <v>1140007</v>
      </c>
      <c r="B789" s="54">
        <v>107362</v>
      </c>
      <c r="C789" s="54" t="s">
        <v>92</v>
      </c>
      <c r="D789" s="51">
        <v>9806.1300000000283</v>
      </c>
      <c r="E789" s="52">
        <v>1.7344831432475487</v>
      </c>
      <c r="F789" s="51">
        <v>2468.5300000000002</v>
      </c>
      <c r="G789" s="52">
        <v>-0.31163938540475677</v>
      </c>
      <c r="H789" s="53">
        <v>562</v>
      </c>
      <c r="I789" s="52">
        <v>1.8241206030150754</v>
      </c>
      <c r="J789" s="53">
        <v>128</v>
      </c>
      <c r="K789" s="52">
        <v>-0.35678391959798994</v>
      </c>
      <c r="L789" s="53">
        <v>404</v>
      </c>
      <c r="M789" s="52">
        <v>1.6578947368421053</v>
      </c>
      <c r="N789" s="53">
        <v>91</v>
      </c>
      <c r="O789" s="52">
        <v>-0.40131578947368424</v>
      </c>
      <c r="P789" s="51">
        <f t="shared" si="24"/>
        <v>1.391089108910891</v>
      </c>
      <c r="Q789" s="50">
        <f t="shared" si="25"/>
        <v>24.272599009901061</v>
      </c>
      <c r="R789" s="39" t="s">
        <v>51</v>
      </c>
    </row>
    <row r="790" spans="1:18" x14ac:dyDescent="0.35">
      <c r="A790" s="54">
        <v>1210041</v>
      </c>
      <c r="B790" s="54">
        <v>104479</v>
      </c>
      <c r="C790" s="54" t="s">
        <v>91</v>
      </c>
      <c r="D790" s="51">
        <v>9745.2000000000335</v>
      </c>
      <c r="E790" s="52">
        <v>6.4321021901956904E-2</v>
      </c>
      <c r="F790" s="51">
        <v>9745.2000000000335</v>
      </c>
      <c r="G790" s="52">
        <v>6.4321021901956904E-2</v>
      </c>
      <c r="H790" s="53">
        <v>653</v>
      </c>
      <c r="I790" s="52">
        <v>5.834683954619125E-2</v>
      </c>
      <c r="J790" s="53">
        <v>653</v>
      </c>
      <c r="K790" s="52">
        <v>5.834683954619125E-2</v>
      </c>
      <c r="L790" s="53">
        <v>478</v>
      </c>
      <c r="M790" s="52">
        <v>4.5951859956236324E-2</v>
      </c>
      <c r="N790" s="53">
        <v>478</v>
      </c>
      <c r="O790" s="52">
        <v>4.5951859956236324E-2</v>
      </c>
      <c r="P790" s="51">
        <f t="shared" si="24"/>
        <v>1.3661087866108788</v>
      </c>
      <c r="Q790" s="50">
        <f t="shared" si="25"/>
        <v>20.38744769874484</v>
      </c>
      <c r="R790" s="39" t="s">
        <v>51</v>
      </c>
    </row>
    <row r="791" spans="1:18" x14ac:dyDescent="0.35">
      <c r="A791" s="54">
        <v>1210048</v>
      </c>
      <c r="B791" s="54">
        <v>106860</v>
      </c>
      <c r="C791" s="54" t="s">
        <v>90</v>
      </c>
      <c r="D791" s="51">
        <v>9724.1500000000269</v>
      </c>
      <c r="E791" s="52">
        <v>6.9684632705840979E-2</v>
      </c>
      <c r="F791" s="51">
        <v>9724.1500000000269</v>
      </c>
      <c r="G791" s="52">
        <v>6.9684632705840979E-2</v>
      </c>
      <c r="H791" s="53">
        <v>628</v>
      </c>
      <c r="I791" s="52">
        <v>-1.2578616352201259E-2</v>
      </c>
      <c r="J791" s="53">
        <v>628</v>
      </c>
      <c r="K791" s="52">
        <v>-1.2578616352201259E-2</v>
      </c>
      <c r="L791" s="53">
        <v>411</v>
      </c>
      <c r="M791" s="52">
        <v>-3.9719626168224297E-2</v>
      </c>
      <c r="N791" s="53">
        <v>411</v>
      </c>
      <c r="O791" s="52">
        <v>-3.9719626168224297E-2</v>
      </c>
      <c r="P791" s="51">
        <f t="shared" si="24"/>
        <v>1.5279805352798053</v>
      </c>
      <c r="Q791" s="50">
        <f t="shared" si="25"/>
        <v>23.65973236009739</v>
      </c>
      <c r="R791" s="39" t="s">
        <v>54</v>
      </c>
    </row>
    <row r="792" spans="1:18" x14ac:dyDescent="0.35">
      <c r="A792" s="54">
        <v>1240322</v>
      </c>
      <c r="B792" s="54">
        <v>105346</v>
      </c>
      <c r="C792" s="54" t="s">
        <v>89</v>
      </c>
      <c r="D792" s="51">
        <v>9550.0700000000288</v>
      </c>
      <c r="E792" s="52">
        <v>6.7240103795326078E-2</v>
      </c>
      <c r="F792" s="51">
        <v>9550.0700000000288</v>
      </c>
      <c r="G792" s="52">
        <v>6.7240103795326078E-2</v>
      </c>
      <c r="H792" s="53">
        <v>508</v>
      </c>
      <c r="I792" s="52">
        <v>-9.1234347048300538E-2</v>
      </c>
      <c r="J792" s="53">
        <v>508</v>
      </c>
      <c r="K792" s="52">
        <v>-9.1234347048300538E-2</v>
      </c>
      <c r="L792" s="53">
        <v>357</v>
      </c>
      <c r="M792" s="52">
        <v>-3.2520325203252036E-2</v>
      </c>
      <c r="N792" s="53">
        <v>357</v>
      </c>
      <c r="O792" s="52">
        <v>-3.2520325203252036E-2</v>
      </c>
      <c r="P792" s="51">
        <f t="shared" si="24"/>
        <v>1.4229691876750701</v>
      </c>
      <c r="Q792" s="50">
        <f t="shared" si="25"/>
        <v>26.7508963585435</v>
      </c>
      <c r="R792" s="39" t="s">
        <v>51</v>
      </c>
    </row>
    <row r="793" spans="1:18" x14ac:dyDescent="0.35">
      <c r="A793" s="54">
        <v>1160016</v>
      </c>
      <c r="B793" s="54">
        <v>104857</v>
      </c>
      <c r="C793" s="54" t="s">
        <v>88</v>
      </c>
      <c r="D793" s="51">
        <v>9442.6400000000249</v>
      </c>
      <c r="E793" s="52">
        <v>-0.29294142489378278</v>
      </c>
      <c r="F793" s="51">
        <v>9442.6400000000249</v>
      </c>
      <c r="G793" s="52">
        <v>-0.29294142489378278</v>
      </c>
      <c r="H793" s="53">
        <v>491</v>
      </c>
      <c r="I793" s="52">
        <v>-0.3123249299719888</v>
      </c>
      <c r="J793" s="53">
        <v>491</v>
      </c>
      <c r="K793" s="52">
        <v>-0.3123249299719888</v>
      </c>
      <c r="L793" s="53">
        <v>382</v>
      </c>
      <c r="M793" s="52">
        <v>-0.25244618395303325</v>
      </c>
      <c r="N793" s="53">
        <v>382</v>
      </c>
      <c r="O793" s="52">
        <v>-0.25244618395303325</v>
      </c>
      <c r="P793" s="51">
        <f t="shared" si="24"/>
        <v>1.2853403141361257</v>
      </c>
      <c r="Q793" s="50">
        <f t="shared" si="25"/>
        <v>24.718952879581217</v>
      </c>
      <c r="R793" s="39" t="s">
        <v>51</v>
      </c>
    </row>
    <row r="794" spans="1:18" x14ac:dyDescent="0.35">
      <c r="A794" s="54">
        <v>1070005</v>
      </c>
      <c r="B794" s="54">
        <v>106987</v>
      </c>
      <c r="C794" s="54" t="s">
        <v>87</v>
      </c>
      <c r="D794" s="51">
        <v>9131.8500000000295</v>
      </c>
      <c r="E794" s="52">
        <v>-0.61218791273659778</v>
      </c>
      <c r="F794" s="51">
        <v>9131.8500000000295</v>
      </c>
      <c r="G794" s="52">
        <v>-0.49980911148929447</v>
      </c>
      <c r="H794" s="53">
        <v>486</v>
      </c>
      <c r="I794" s="52">
        <v>-0.62844036697247707</v>
      </c>
      <c r="J794" s="53">
        <v>486</v>
      </c>
      <c r="K794" s="52">
        <v>-0.51545363908275177</v>
      </c>
      <c r="L794" s="53">
        <v>332</v>
      </c>
      <c r="M794" s="52">
        <v>-0.63794983642311887</v>
      </c>
      <c r="N794" s="53">
        <v>332</v>
      </c>
      <c r="O794" s="52">
        <v>-0.52435530085959881</v>
      </c>
      <c r="P794" s="51">
        <f t="shared" si="24"/>
        <v>1.463855421686747</v>
      </c>
      <c r="Q794" s="50">
        <f t="shared" si="25"/>
        <v>27.505572289156714</v>
      </c>
      <c r="R794" s="39" t="s">
        <v>51</v>
      </c>
    </row>
    <row r="795" spans="1:18" x14ac:dyDescent="0.35">
      <c r="A795" s="54">
        <v>1270020</v>
      </c>
      <c r="B795" s="54">
        <v>104905</v>
      </c>
      <c r="C795" s="54" t="s">
        <v>86</v>
      </c>
      <c r="D795" s="51">
        <v>8589.0100000000275</v>
      </c>
      <c r="E795" s="52">
        <v>-0.51700083114674544</v>
      </c>
      <c r="F795" s="51">
        <v>8589.0100000000275</v>
      </c>
      <c r="G795" s="52">
        <v>-0.51700083114674544</v>
      </c>
      <c r="H795" s="53">
        <v>565</v>
      </c>
      <c r="I795" s="52">
        <v>-0.55755677368833201</v>
      </c>
      <c r="J795" s="53">
        <v>565</v>
      </c>
      <c r="K795" s="52">
        <v>-0.55755677368833201</v>
      </c>
      <c r="L795" s="53">
        <v>388</v>
      </c>
      <c r="M795" s="52">
        <v>-0.48058902275769744</v>
      </c>
      <c r="N795" s="53">
        <v>388</v>
      </c>
      <c r="O795" s="52">
        <v>-0.48058902275769744</v>
      </c>
      <c r="P795" s="51">
        <f t="shared" si="24"/>
        <v>1.4561855670103092</v>
      </c>
      <c r="Q795" s="50">
        <f t="shared" si="25"/>
        <v>22.136623711340278</v>
      </c>
      <c r="R795" s="39" t="s">
        <v>51</v>
      </c>
    </row>
    <row r="796" spans="1:18" x14ac:dyDescent="0.35">
      <c r="A796" s="54">
        <v>1240323</v>
      </c>
      <c r="B796" s="54">
        <v>105650</v>
      </c>
      <c r="C796" s="54" t="s">
        <v>85</v>
      </c>
      <c r="D796" s="51">
        <v>8322.5100000000202</v>
      </c>
      <c r="E796" s="52">
        <v>-0.89233466421198127</v>
      </c>
      <c r="F796" s="51">
        <v>8322.5100000000202</v>
      </c>
      <c r="G796" s="52">
        <v>-0.50076242738643773</v>
      </c>
      <c r="H796" s="53">
        <v>599</v>
      </c>
      <c r="I796" s="52">
        <v>-0.89272922636103147</v>
      </c>
      <c r="J796" s="53">
        <v>599</v>
      </c>
      <c r="K796" s="52">
        <v>-0.53276131045241815</v>
      </c>
      <c r="L796" s="53">
        <v>326</v>
      </c>
      <c r="M796" s="52">
        <v>-0.89990789069696042</v>
      </c>
      <c r="N796" s="53">
        <v>326</v>
      </c>
      <c r="O796" s="52">
        <v>-0.5582655826558266</v>
      </c>
      <c r="P796" s="51">
        <f t="shared" si="24"/>
        <v>1.8374233128834356</v>
      </c>
      <c r="Q796" s="50">
        <f t="shared" si="25"/>
        <v>25.529171779141166</v>
      </c>
      <c r="R796" s="39" t="s">
        <v>54</v>
      </c>
    </row>
    <row r="797" spans="1:18" x14ac:dyDescent="0.35">
      <c r="A797" s="54">
        <v>1240027</v>
      </c>
      <c r="B797" s="54">
        <v>100832</v>
      </c>
      <c r="C797" s="54" t="s">
        <v>84</v>
      </c>
      <c r="D797" s="51">
        <v>8155.6600000000253</v>
      </c>
      <c r="E797" s="52">
        <v>-2.5591825908676671E-2</v>
      </c>
      <c r="F797" s="51">
        <v>8155.6600000000253</v>
      </c>
      <c r="G797" s="52">
        <v>-2.5591825908676671E-2</v>
      </c>
      <c r="H797" s="53">
        <v>610</v>
      </c>
      <c r="I797" s="52">
        <v>-0.1855807743658211</v>
      </c>
      <c r="J797" s="53">
        <v>610</v>
      </c>
      <c r="K797" s="52">
        <v>-0.1855807743658211</v>
      </c>
      <c r="L797" s="53">
        <v>401</v>
      </c>
      <c r="M797" s="52">
        <v>-0.26422018348623855</v>
      </c>
      <c r="N797" s="53">
        <v>401</v>
      </c>
      <c r="O797" s="52">
        <v>-0.26422018348623855</v>
      </c>
      <c r="P797" s="51">
        <f t="shared" si="24"/>
        <v>1.5211970074812968</v>
      </c>
      <c r="Q797" s="50">
        <f t="shared" si="25"/>
        <v>20.338304239401559</v>
      </c>
      <c r="R797" s="39" t="s">
        <v>54</v>
      </c>
    </row>
    <row r="798" spans="1:18" x14ac:dyDescent="0.35">
      <c r="A798" s="54">
        <v>1240411</v>
      </c>
      <c r="B798" s="54">
        <v>107322</v>
      </c>
      <c r="C798" s="54" t="s">
        <v>83</v>
      </c>
      <c r="D798" s="51">
        <v>8149.220000000023</v>
      </c>
      <c r="E798" s="52">
        <v>-0.4026553959307772</v>
      </c>
      <c r="F798" s="51">
        <v>5940.9800000000123</v>
      </c>
      <c r="G798" s="52">
        <v>-0.56452122462233578</v>
      </c>
      <c r="H798" s="53">
        <v>510</v>
      </c>
      <c r="I798" s="52">
        <v>-0.41647597254004576</v>
      </c>
      <c r="J798" s="53">
        <v>376</v>
      </c>
      <c r="K798" s="52">
        <v>-0.56979405034324948</v>
      </c>
      <c r="L798" s="53">
        <v>353</v>
      </c>
      <c r="M798" s="52">
        <v>-0.36281588447653429</v>
      </c>
      <c r="N798" s="53">
        <v>259</v>
      </c>
      <c r="O798" s="52">
        <v>-0.53249097472924189</v>
      </c>
      <c r="P798" s="51">
        <f t="shared" si="24"/>
        <v>1.4447592067988668</v>
      </c>
      <c r="Q798" s="50">
        <f t="shared" si="25"/>
        <v>23.085609065155872</v>
      </c>
      <c r="R798" s="39" t="s">
        <v>51</v>
      </c>
    </row>
    <row r="799" spans="1:18" x14ac:dyDescent="0.35">
      <c r="A799" s="54">
        <v>1250019</v>
      </c>
      <c r="B799" s="54">
        <v>104998</v>
      </c>
      <c r="C799" s="54" t="s">
        <v>82</v>
      </c>
      <c r="D799" s="51">
        <v>7913.7500000000236</v>
      </c>
      <c r="E799" s="52">
        <v>-0.22314290538417916</v>
      </c>
      <c r="F799" s="51">
        <v>7913.7500000000236</v>
      </c>
      <c r="G799" s="52">
        <v>-0.22314290538417916</v>
      </c>
      <c r="H799" s="53">
        <v>495</v>
      </c>
      <c r="I799" s="52">
        <v>-0.20926517571884984</v>
      </c>
      <c r="J799" s="53">
        <v>495</v>
      </c>
      <c r="K799" s="52">
        <v>-0.20926517571884984</v>
      </c>
      <c r="L799" s="53">
        <v>310</v>
      </c>
      <c r="M799" s="52">
        <v>-0.27058823529411763</v>
      </c>
      <c r="N799" s="53">
        <v>310</v>
      </c>
      <c r="O799" s="52">
        <v>-0.27058823529411763</v>
      </c>
      <c r="P799" s="51">
        <f t="shared" si="24"/>
        <v>1.596774193548387</v>
      </c>
      <c r="Q799" s="50">
        <f t="shared" si="25"/>
        <v>25.52822580645169</v>
      </c>
      <c r="R799" s="39" t="s">
        <v>54</v>
      </c>
    </row>
    <row r="800" spans="1:18" x14ac:dyDescent="0.35">
      <c r="A800" s="54">
        <v>1190020</v>
      </c>
      <c r="B800" s="54">
        <v>105649</v>
      </c>
      <c r="C800" s="54" t="s">
        <v>81</v>
      </c>
      <c r="D800" s="51">
        <v>7821.3900000000158</v>
      </c>
      <c r="E800" s="52">
        <v>-0.22384746450626283</v>
      </c>
      <c r="F800" s="51">
        <v>7821.3900000000158</v>
      </c>
      <c r="G800" s="52">
        <v>-0.22384746450626283</v>
      </c>
      <c r="H800" s="53">
        <v>446</v>
      </c>
      <c r="I800" s="52">
        <v>-0.25790349417637271</v>
      </c>
      <c r="J800" s="53">
        <v>446</v>
      </c>
      <c r="K800" s="52">
        <v>-0.25790349417637271</v>
      </c>
      <c r="L800" s="53">
        <v>306</v>
      </c>
      <c r="M800" s="52">
        <v>-0.24257425742574257</v>
      </c>
      <c r="N800" s="53">
        <v>306</v>
      </c>
      <c r="O800" s="52">
        <v>-0.24257425742574257</v>
      </c>
      <c r="P800" s="51">
        <f t="shared" si="24"/>
        <v>1.457516339869281</v>
      </c>
      <c r="Q800" s="50">
        <f t="shared" si="25"/>
        <v>25.560098039215738</v>
      </c>
      <c r="R800" s="39" t="s">
        <v>51</v>
      </c>
    </row>
    <row r="801" spans="1:18" x14ac:dyDescent="0.35">
      <c r="A801" s="54">
        <v>1160020</v>
      </c>
      <c r="B801" s="54">
        <v>105576</v>
      </c>
      <c r="C801" s="54" t="s">
        <v>80</v>
      </c>
      <c r="D801" s="51">
        <v>7729.00000000002</v>
      </c>
      <c r="E801" s="52">
        <v>-0.14889446577683471</v>
      </c>
      <c r="F801" s="51">
        <v>7729.00000000002</v>
      </c>
      <c r="G801" s="52">
        <v>-0.14889446577683471</v>
      </c>
      <c r="H801" s="53">
        <v>437</v>
      </c>
      <c r="I801" s="52">
        <v>-0.24655172413793103</v>
      </c>
      <c r="J801" s="53">
        <v>437</v>
      </c>
      <c r="K801" s="52">
        <v>-0.24655172413793103</v>
      </c>
      <c r="L801" s="53">
        <v>299</v>
      </c>
      <c r="M801" s="52">
        <v>-0.29146919431279622</v>
      </c>
      <c r="N801" s="53">
        <v>299</v>
      </c>
      <c r="O801" s="52">
        <v>-0.29146919431279622</v>
      </c>
      <c r="P801" s="51">
        <f t="shared" si="24"/>
        <v>1.4615384615384615</v>
      </c>
      <c r="Q801" s="50">
        <f t="shared" si="25"/>
        <v>25.849498327759264</v>
      </c>
      <c r="R801" s="39" t="s">
        <v>51</v>
      </c>
    </row>
    <row r="802" spans="1:18" x14ac:dyDescent="0.35">
      <c r="A802" s="54">
        <v>1250047</v>
      </c>
      <c r="B802" s="54">
        <v>107184</v>
      </c>
      <c r="C802" s="54" t="s">
        <v>79</v>
      </c>
      <c r="D802" s="51">
        <v>7705.5500000000211</v>
      </c>
      <c r="E802" s="52">
        <v>-0.55090052442681847</v>
      </c>
      <c r="F802" s="51">
        <v>7705.5500000000211</v>
      </c>
      <c r="G802" s="52">
        <v>-0.55090052442681847</v>
      </c>
      <c r="H802" s="53">
        <v>440</v>
      </c>
      <c r="I802" s="52">
        <v>-0.5677799607072691</v>
      </c>
      <c r="J802" s="53">
        <v>440</v>
      </c>
      <c r="K802" s="52">
        <v>-0.5677799607072691</v>
      </c>
      <c r="L802" s="53">
        <v>309</v>
      </c>
      <c r="M802" s="52">
        <v>-0.55021834061135366</v>
      </c>
      <c r="N802" s="53">
        <v>309</v>
      </c>
      <c r="O802" s="52">
        <v>-0.55021834061135366</v>
      </c>
      <c r="P802" s="51">
        <f t="shared" si="24"/>
        <v>1.4239482200647249</v>
      </c>
      <c r="Q802" s="50">
        <f t="shared" si="25"/>
        <v>24.937055016181297</v>
      </c>
      <c r="R802" s="39" t="s">
        <v>51</v>
      </c>
    </row>
    <row r="803" spans="1:18" x14ac:dyDescent="0.35">
      <c r="A803" s="54">
        <v>1240400</v>
      </c>
      <c r="B803" s="54">
        <v>107025</v>
      </c>
      <c r="C803" s="54" t="s">
        <v>78</v>
      </c>
      <c r="D803" s="51">
        <v>7407.8800000000174</v>
      </c>
      <c r="E803" s="52">
        <v>-0.30485781634736531</v>
      </c>
      <c r="F803" s="51">
        <v>7407.8800000000174</v>
      </c>
      <c r="G803" s="52">
        <v>-0.30485781634736531</v>
      </c>
      <c r="H803" s="53">
        <v>387</v>
      </c>
      <c r="I803" s="52">
        <v>-0.3905511811023622</v>
      </c>
      <c r="J803" s="53">
        <v>387</v>
      </c>
      <c r="K803" s="52">
        <v>-0.3905511811023622</v>
      </c>
      <c r="L803" s="53">
        <v>285</v>
      </c>
      <c r="M803" s="52">
        <v>-0.39232409381663114</v>
      </c>
      <c r="N803" s="53">
        <v>285</v>
      </c>
      <c r="O803" s="52">
        <v>-0.39232409381663114</v>
      </c>
      <c r="P803" s="51">
        <f t="shared" si="24"/>
        <v>1.3578947368421053</v>
      </c>
      <c r="Q803" s="50">
        <f t="shared" si="25"/>
        <v>25.992561403508834</v>
      </c>
      <c r="R803" s="39" t="s">
        <v>51</v>
      </c>
    </row>
    <row r="804" spans="1:18" x14ac:dyDescent="0.35">
      <c r="A804" s="54">
        <v>1240406</v>
      </c>
      <c r="B804" s="54">
        <v>107139</v>
      </c>
      <c r="C804" s="54" t="s">
        <v>77</v>
      </c>
      <c r="D804" s="51">
        <v>7321.1400000000203</v>
      </c>
      <c r="E804" s="52">
        <v>0.35504899257060468</v>
      </c>
      <c r="F804" s="51">
        <v>7321.1400000000203</v>
      </c>
      <c r="G804" s="52">
        <v>0.35504899257060468</v>
      </c>
      <c r="H804" s="53">
        <v>452</v>
      </c>
      <c r="I804" s="52">
        <v>0.15897435897435896</v>
      </c>
      <c r="J804" s="53">
        <v>452</v>
      </c>
      <c r="K804" s="52">
        <v>0.15897435897435896</v>
      </c>
      <c r="L804" s="53">
        <v>331</v>
      </c>
      <c r="M804" s="52">
        <v>0.22592592592592592</v>
      </c>
      <c r="N804" s="53">
        <v>331</v>
      </c>
      <c r="O804" s="52">
        <v>0.22592592592592592</v>
      </c>
      <c r="P804" s="51">
        <f t="shared" si="24"/>
        <v>1.3655589123867069</v>
      </c>
      <c r="Q804" s="50">
        <f t="shared" si="25"/>
        <v>22.118247734139036</v>
      </c>
      <c r="R804" s="39" t="s">
        <v>51</v>
      </c>
    </row>
    <row r="805" spans="1:18" x14ac:dyDescent="0.35">
      <c r="A805" s="54">
        <v>1250052</v>
      </c>
      <c r="B805" s="54">
        <v>107838</v>
      </c>
      <c r="C805" s="54" t="s">
        <v>76</v>
      </c>
      <c r="D805" s="51">
        <v>7273.0200000000186</v>
      </c>
      <c r="E805" s="52"/>
      <c r="F805" s="51"/>
      <c r="G805" s="52"/>
      <c r="H805" s="53">
        <v>405</v>
      </c>
      <c r="I805" s="52" t="s">
        <v>52</v>
      </c>
      <c r="J805" s="53"/>
      <c r="K805" s="52"/>
      <c r="L805" s="53">
        <v>285</v>
      </c>
      <c r="M805" s="52" t="s">
        <v>52</v>
      </c>
      <c r="N805" s="53"/>
      <c r="O805" s="52"/>
      <c r="P805" s="51">
        <f t="shared" si="24"/>
        <v>1.4210526315789473</v>
      </c>
      <c r="Q805" s="50">
        <f t="shared" si="25"/>
        <v>25.519368421052697</v>
      </c>
      <c r="R805" s="39" t="s">
        <v>51</v>
      </c>
    </row>
    <row r="806" spans="1:18" x14ac:dyDescent="0.35">
      <c r="A806" s="54">
        <v>1240385</v>
      </c>
      <c r="B806" s="54">
        <v>106930</v>
      </c>
      <c r="C806" s="54" t="s">
        <v>75</v>
      </c>
      <c r="D806" s="51">
        <v>6789.660000000018</v>
      </c>
      <c r="E806" s="52">
        <v>-0.42780115473655067</v>
      </c>
      <c r="F806" s="51">
        <v>6789.660000000018</v>
      </c>
      <c r="G806" s="52">
        <v>-0.42780115473655067</v>
      </c>
      <c r="H806" s="53">
        <v>397</v>
      </c>
      <c r="I806" s="52">
        <v>-0.40746268656716417</v>
      </c>
      <c r="J806" s="53">
        <v>397</v>
      </c>
      <c r="K806" s="52">
        <v>-0.40746268656716417</v>
      </c>
      <c r="L806" s="53">
        <v>288</v>
      </c>
      <c r="M806" s="52">
        <v>-0.44933078393881454</v>
      </c>
      <c r="N806" s="53">
        <v>288</v>
      </c>
      <c r="O806" s="52">
        <v>-0.44933078393881454</v>
      </c>
      <c r="P806" s="51">
        <f t="shared" si="24"/>
        <v>1.3784722222222223</v>
      </c>
      <c r="Q806" s="50">
        <f t="shared" si="25"/>
        <v>23.575208333333396</v>
      </c>
      <c r="R806" s="39" t="s">
        <v>51</v>
      </c>
    </row>
    <row r="807" spans="1:18" x14ac:dyDescent="0.35">
      <c r="A807" s="54">
        <v>1170016</v>
      </c>
      <c r="B807" s="54">
        <v>107355</v>
      </c>
      <c r="C807" s="54" t="s">
        <v>74</v>
      </c>
      <c r="D807" s="51">
        <v>6637.7400000000043</v>
      </c>
      <c r="E807" s="52">
        <v>-0.3194378939684126</v>
      </c>
      <c r="F807" s="51">
        <v>2436.4700000000003</v>
      </c>
      <c r="G807" s="52">
        <v>-0.75019070429351242</v>
      </c>
      <c r="H807" s="53">
        <v>304</v>
      </c>
      <c r="I807" s="52">
        <v>-0.36929460580912865</v>
      </c>
      <c r="J807" s="53">
        <v>111</v>
      </c>
      <c r="K807" s="52">
        <v>-0.76970954356846477</v>
      </c>
      <c r="L807" s="53">
        <v>201</v>
      </c>
      <c r="M807" s="52">
        <v>-0.20238095238095238</v>
      </c>
      <c r="N807" s="53">
        <v>77</v>
      </c>
      <c r="O807" s="52">
        <v>-0.69444444444444442</v>
      </c>
      <c r="P807" s="51">
        <f t="shared" si="24"/>
        <v>1.5124378109452736</v>
      </c>
      <c r="Q807" s="50">
        <f t="shared" si="25"/>
        <v>33.023582089552264</v>
      </c>
      <c r="R807" s="39" t="s">
        <v>54</v>
      </c>
    </row>
    <row r="808" spans="1:18" x14ac:dyDescent="0.35">
      <c r="A808" s="54">
        <v>1210031</v>
      </c>
      <c r="B808" s="54">
        <v>104110</v>
      </c>
      <c r="C808" s="54" t="s">
        <v>73</v>
      </c>
      <c r="D808" s="51">
        <v>6536.9700000000175</v>
      </c>
      <c r="E808" s="52">
        <v>-5.4491727307044525E-2</v>
      </c>
      <c r="F808" s="51">
        <v>6536.9700000000175</v>
      </c>
      <c r="G808" s="52">
        <v>-5.4491727307044525E-2</v>
      </c>
      <c r="H808" s="53">
        <v>360</v>
      </c>
      <c r="I808" s="52">
        <v>-0.13875598086124402</v>
      </c>
      <c r="J808" s="53">
        <v>360</v>
      </c>
      <c r="K808" s="52">
        <v>-0.13875598086124402</v>
      </c>
      <c r="L808" s="53">
        <v>258</v>
      </c>
      <c r="M808" s="52">
        <v>-0.14000000000000001</v>
      </c>
      <c r="N808" s="53">
        <v>258</v>
      </c>
      <c r="O808" s="52">
        <v>-0.14000000000000001</v>
      </c>
      <c r="P808" s="51">
        <f t="shared" si="24"/>
        <v>1.3953488372093024</v>
      </c>
      <c r="Q808" s="50">
        <f t="shared" si="25"/>
        <v>25.337093023255882</v>
      </c>
      <c r="R808" s="39" t="s">
        <v>51</v>
      </c>
    </row>
    <row r="809" spans="1:18" x14ac:dyDescent="0.35">
      <c r="A809" s="54">
        <v>1210083</v>
      </c>
      <c r="B809" s="54">
        <v>106956</v>
      </c>
      <c r="C809" s="54" t="s">
        <v>72</v>
      </c>
      <c r="D809" s="51">
        <v>6372.3300000000127</v>
      </c>
      <c r="E809" s="52">
        <v>-0.52836334569354004</v>
      </c>
      <c r="F809" s="51">
        <v>6372.3300000000127</v>
      </c>
      <c r="G809" s="52">
        <v>-0.52836334569354004</v>
      </c>
      <c r="H809" s="53">
        <v>369</v>
      </c>
      <c r="I809" s="52">
        <v>-0.53113087674714099</v>
      </c>
      <c r="J809" s="53">
        <v>369</v>
      </c>
      <c r="K809" s="52">
        <v>-0.53113087674714099</v>
      </c>
      <c r="L809" s="53">
        <v>277</v>
      </c>
      <c r="M809" s="52">
        <v>-0.53288364249578413</v>
      </c>
      <c r="N809" s="53">
        <v>277</v>
      </c>
      <c r="O809" s="52">
        <v>-0.53288364249578413</v>
      </c>
      <c r="P809" s="51">
        <f t="shared" si="24"/>
        <v>1.332129963898917</v>
      </c>
      <c r="Q809" s="50">
        <f t="shared" si="25"/>
        <v>23.004801444043366</v>
      </c>
      <c r="R809" s="39" t="s">
        <v>51</v>
      </c>
    </row>
    <row r="810" spans="1:18" x14ac:dyDescent="0.35">
      <c r="A810" s="54">
        <v>1160018</v>
      </c>
      <c r="B810" s="54">
        <v>107844</v>
      </c>
      <c r="C810" s="54" t="s">
        <v>71</v>
      </c>
      <c r="D810" s="51">
        <v>6334.0400000000136</v>
      </c>
      <c r="E810" s="52"/>
      <c r="F810" s="51">
        <v>6334.0400000000136</v>
      </c>
      <c r="G810" s="52"/>
      <c r="H810" s="53">
        <v>349</v>
      </c>
      <c r="I810" s="52" t="s">
        <v>52</v>
      </c>
      <c r="J810" s="53">
        <v>349</v>
      </c>
      <c r="K810" s="52"/>
      <c r="L810" s="53">
        <v>256</v>
      </c>
      <c r="M810" s="52" t="s">
        <v>52</v>
      </c>
      <c r="N810" s="53">
        <v>256</v>
      </c>
      <c r="O810" s="52"/>
      <c r="P810" s="51">
        <f t="shared" si="24"/>
        <v>1.36328125</v>
      </c>
      <c r="Q810" s="50">
        <f t="shared" si="25"/>
        <v>24.742343750000053</v>
      </c>
      <c r="R810" s="39" t="s">
        <v>51</v>
      </c>
    </row>
    <row r="811" spans="1:18" x14ac:dyDescent="0.35">
      <c r="A811" s="54">
        <v>1250040</v>
      </c>
      <c r="B811" s="54">
        <v>108337</v>
      </c>
      <c r="C811" s="54" t="s">
        <v>63</v>
      </c>
      <c r="D811" s="51">
        <v>6181.220000000003</v>
      </c>
      <c r="E811" s="52"/>
      <c r="F811" s="51">
        <v>6181.220000000003</v>
      </c>
      <c r="G811" s="52"/>
      <c r="H811" s="53">
        <v>406</v>
      </c>
      <c r="I811" s="52" t="s">
        <v>52</v>
      </c>
      <c r="J811" s="53">
        <v>406</v>
      </c>
      <c r="K811" s="52"/>
      <c r="L811" s="53">
        <v>176</v>
      </c>
      <c r="M811" s="52" t="s">
        <v>52</v>
      </c>
      <c r="N811" s="53">
        <v>176</v>
      </c>
      <c r="O811" s="52"/>
      <c r="P811" s="51">
        <f t="shared" si="24"/>
        <v>2.3068181818181817</v>
      </c>
      <c r="Q811" s="50">
        <f t="shared" si="25"/>
        <v>35.1205681818182</v>
      </c>
      <c r="R811" s="39" t="s">
        <v>70</v>
      </c>
    </row>
    <row r="812" spans="1:18" x14ac:dyDescent="0.35">
      <c r="A812" s="54">
        <v>1090005</v>
      </c>
      <c r="B812" s="54">
        <v>107344</v>
      </c>
      <c r="C812" s="54" t="s">
        <v>69</v>
      </c>
      <c r="D812" s="51">
        <v>6171.2300000000087</v>
      </c>
      <c r="E812" s="52"/>
      <c r="F812" s="51"/>
      <c r="G812" s="52"/>
      <c r="H812" s="53">
        <v>359</v>
      </c>
      <c r="I812" s="52" t="s">
        <v>52</v>
      </c>
      <c r="J812" s="53"/>
      <c r="K812" s="52"/>
      <c r="L812" s="53">
        <v>273</v>
      </c>
      <c r="M812" s="52" t="s">
        <v>52</v>
      </c>
      <c r="N812" s="53"/>
      <c r="O812" s="52"/>
      <c r="P812" s="51">
        <f t="shared" si="24"/>
        <v>1.315018315018315</v>
      </c>
      <c r="Q812" s="50">
        <f t="shared" si="25"/>
        <v>22.605238095238128</v>
      </c>
      <c r="R812" s="39" t="s">
        <v>51</v>
      </c>
    </row>
    <row r="813" spans="1:18" x14ac:dyDescent="0.35">
      <c r="A813" s="54">
        <v>1210053</v>
      </c>
      <c r="B813" s="54">
        <v>105010</v>
      </c>
      <c r="C813" s="54" t="s">
        <v>68</v>
      </c>
      <c r="D813" s="51">
        <v>5549.4700000000166</v>
      </c>
      <c r="E813" s="52">
        <v>-0.73626423239858818</v>
      </c>
      <c r="F813" s="51">
        <v>5549.4700000000166</v>
      </c>
      <c r="G813" s="52">
        <v>-6.6272388467782009E-2</v>
      </c>
      <c r="H813" s="53">
        <v>333</v>
      </c>
      <c r="I813" s="52">
        <v>-0.77176148046607262</v>
      </c>
      <c r="J813" s="53">
        <v>333</v>
      </c>
      <c r="K813" s="52">
        <v>-0.2255813953488372</v>
      </c>
      <c r="L813" s="53">
        <v>215</v>
      </c>
      <c r="M813" s="52">
        <v>-0.78260869565217395</v>
      </c>
      <c r="N813" s="53">
        <v>215</v>
      </c>
      <c r="O813" s="52">
        <v>-0.24028268551236748</v>
      </c>
      <c r="P813" s="51">
        <f t="shared" si="24"/>
        <v>1.5488372093023255</v>
      </c>
      <c r="Q813" s="50">
        <f t="shared" si="25"/>
        <v>25.811488372093102</v>
      </c>
      <c r="R813" s="39" t="s">
        <v>54</v>
      </c>
    </row>
    <row r="814" spans="1:18" x14ac:dyDescent="0.35">
      <c r="A814" s="54">
        <v>1130009</v>
      </c>
      <c r="B814" s="54">
        <v>104542</v>
      </c>
      <c r="C814" s="54" t="s">
        <v>67</v>
      </c>
      <c r="D814" s="51">
        <v>5051.7400000000134</v>
      </c>
      <c r="E814" s="52">
        <v>-0.76190635538200746</v>
      </c>
      <c r="F814" s="51">
        <v>5051.7400000000134</v>
      </c>
      <c r="G814" s="52">
        <v>5.6458173437871149E-2</v>
      </c>
      <c r="H814" s="53">
        <v>311</v>
      </c>
      <c r="I814" s="52">
        <v>-0.77431059506531208</v>
      </c>
      <c r="J814" s="53">
        <v>311</v>
      </c>
      <c r="K814" s="52">
        <v>-6.8862275449101798E-2</v>
      </c>
      <c r="L814" s="53">
        <v>209</v>
      </c>
      <c r="M814" s="52">
        <v>-0.7958984375</v>
      </c>
      <c r="N814" s="53">
        <v>209</v>
      </c>
      <c r="O814" s="52">
        <v>-0.16400000000000001</v>
      </c>
      <c r="P814" s="51">
        <f t="shared" si="24"/>
        <v>1.4880382775119618</v>
      </c>
      <c r="Q814" s="50">
        <f t="shared" si="25"/>
        <v>24.17100478468906</v>
      </c>
      <c r="R814" s="39" t="s">
        <v>51</v>
      </c>
    </row>
    <row r="815" spans="1:18" x14ac:dyDescent="0.35">
      <c r="A815" s="54">
        <v>1190030</v>
      </c>
      <c r="B815" s="54">
        <v>107004</v>
      </c>
      <c r="C815" s="54" t="s">
        <v>66</v>
      </c>
      <c r="D815" s="51">
        <v>5008.800000000002</v>
      </c>
      <c r="E815" s="52">
        <v>-0.37832014377774081</v>
      </c>
      <c r="F815" s="51">
        <v>5008.800000000002</v>
      </c>
      <c r="G815" s="52">
        <v>-0.37832014377774081</v>
      </c>
      <c r="H815" s="53">
        <v>266</v>
      </c>
      <c r="I815" s="52">
        <v>-0.44583333333333336</v>
      </c>
      <c r="J815" s="53">
        <v>266</v>
      </c>
      <c r="K815" s="52">
        <v>-0.44583333333333336</v>
      </c>
      <c r="L815" s="53">
        <v>182</v>
      </c>
      <c r="M815" s="52">
        <v>-0.4599406528189911</v>
      </c>
      <c r="N815" s="53">
        <v>182</v>
      </c>
      <c r="O815" s="52">
        <v>-0.4599406528189911</v>
      </c>
      <c r="P815" s="51">
        <f t="shared" si="24"/>
        <v>1.4615384615384615</v>
      </c>
      <c r="Q815" s="50">
        <f t="shared" si="25"/>
        <v>27.520879120879133</v>
      </c>
      <c r="R815" s="39" t="s">
        <v>51</v>
      </c>
    </row>
    <row r="816" spans="1:18" x14ac:dyDescent="0.35">
      <c r="A816" s="54">
        <v>1180009</v>
      </c>
      <c r="B816" s="54">
        <v>107000</v>
      </c>
      <c r="C816" s="54" t="s">
        <v>65</v>
      </c>
      <c r="D816" s="51">
        <v>4671.2000000000035</v>
      </c>
      <c r="E816" s="52">
        <v>-0.67298454111285499</v>
      </c>
      <c r="F816" s="51">
        <v>4671.2000000000035</v>
      </c>
      <c r="G816" s="52">
        <v>-0.25209583522796347</v>
      </c>
      <c r="H816" s="53">
        <v>226</v>
      </c>
      <c r="I816" s="52">
        <v>-0.68698060941828254</v>
      </c>
      <c r="J816" s="53">
        <v>226</v>
      </c>
      <c r="K816" s="52">
        <v>-0.34110787172011664</v>
      </c>
      <c r="L816" s="53">
        <v>162</v>
      </c>
      <c r="M816" s="52">
        <v>-0.63431151241534989</v>
      </c>
      <c r="N816" s="53">
        <v>162</v>
      </c>
      <c r="O816" s="52">
        <v>-0.24299065420560748</v>
      </c>
      <c r="P816" s="51">
        <f t="shared" si="24"/>
        <v>1.3950617283950617</v>
      </c>
      <c r="Q816" s="50">
        <f t="shared" si="25"/>
        <v>28.834567901234589</v>
      </c>
      <c r="R816" s="39" t="s">
        <v>51</v>
      </c>
    </row>
    <row r="817" spans="1:18" x14ac:dyDescent="0.35">
      <c r="A817" s="54">
        <v>1210087</v>
      </c>
      <c r="B817" s="54">
        <v>107356</v>
      </c>
      <c r="C817" s="54" t="s">
        <v>64</v>
      </c>
      <c r="D817" s="51">
        <v>4567.6100000000079</v>
      </c>
      <c r="E817" s="52"/>
      <c r="F817" s="51">
        <v>1004.0199999999993</v>
      </c>
      <c r="G817" s="52"/>
      <c r="H817" s="53">
        <v>267</v>
      </c>
      <c r="I817" s="52" t="s">
        <v>52</v>
      </c>
      <c r="J817" s="53">
        <v>59</v>
      </c>
      <c r="K817" s="52"/>
      <c r="L817" s="53">
        <v>228</v>
      </c>
      <c r="M817" s="52" t="s">
        <v>52</v>
      </c>
      <c r="N817" s="53">
        <v>51</v>
      </c>
      <c r="O817" s="52"/>
      <c r="P817" s="51">
        <f t="shared" si="24"/>
        <v>1.1710526315789473</v>
      </c>
      <c r="Q817" s="50">
        <f t="shared" si="25"/>
        <v>20.033377192982492</v>
      </c>
      <c r="R817" s="39" t="s">
        <v>51</v>
      </c>
    </row>
    <row r="818" spans="1:18" x14ac:dyDescent="0.35">
      <c r="A818" s="54">
        <v>1250040</v>
      </c>
      <c r="B818" s="54">
        <v>105765</v>
      </c>
      <c r="C818" s="54" t="s">
        <v>63</v>
      </c>
      <c r="D818" s="51">
        <v>4425.0000000000082</v>
      </c>
      <c r="E818" s="52">
        <v>-0.53996579632700348</v>
      </c>
      <c r="F818" s="51">
        <v>4425.0000000000082</v>
      </c>
      <c r="G818" s="52">
        <v>-0.53996579632700348</v>
      </c>
      <c r="H818" s="53">
        <v>246</v>
      </c>
      <c r="I818" s="52">
        <v>-0.59203980099502485</v>
      </c>
      <c r="J818" s="53">
        <v>246</v>
      </c>
      <c r="K818" s="52">
        <v>-0.59203980099502485</v>
      </c>
      <c r="L818" s="53">
        <v>170</v>
      </c>
      <c r="M818" s="52">
        <v>-0.59134615384615385</v>
      </c>
      <c r="N818" s="53">
        <v>170</v>
      </c>
      <c r="O818" s="52">
        <v>-0.59134615384615385</v>
      </c>
      <c r="P818" s="51">
        <f t="shared" si="24"/>
        <v>1.4470588235294117</v>
      </c>
      <c r="Q818" s="50">
        <f t="shared" si="25"/>
        <v>26.02941176470593</v>
      </c>
      <c r="R818" s="39" t="s">
        <v>51</v>
      </c>
    </row>
    <row r="819" spans="1:18" x14ac:dyDescent="0.35">
      <c r="A819" s="54">
        <v>1210066</v>
      </c>
      <c r="B819" s="54">
        <v>105733</v>
      </c>
      <c r="C819" s="54" t="s">
        <v>62</v>
      </c>
      <c r="D819" s="51">
        <v>3638.099999999999</v>
      </c>
      <c r="E819" s="52">
        <v>0.14459290673932118</v>
      </c>
      <c r="F819" s="51">
        <v>3638.099999999999</v>
      </c>
      <c r="G819" s="52">
        <v>0.14459290673932118</v>
      </c>
      <c r="H819" s="53">
        <v>177</v>
      </c>
      <c r="I819" s="52">
        <v>7.2727272727272724E-2</v>
      </c>
      <c r="J819" s="53">
        <v>177</v>
      </c>
      <c r="K819" s="52">
        <v>7.2727272727272724E-2</v>
      </c>
      <c r="L819" s="53">
        <v>139</v>
      </c>
      <c r="M819" s="52">
        <v>1.4598540145985401E-2</v>
      </c>
      <c r="N819" s="53">
        <v>139</v>
      </c>
      <c r="O819" s="52">
        <v>1.4598540145985401E-2</v>
      </c>
      <c r="P819" s="51">
        <f t="shared" si="24"/>
        <v>1.2733812949640289</v>
      </c>
      <c r="Q819" s="50">
        <f t="shared" si="25"/>
        <v>26.17338129496402</v>
      </c>
      <c r="R819" s="39" t="s">
        <v>51</v>
      </c>
    </row>
    <row r="820" spans="1:18" x14ac:dyDescent="0.35">
      <c r="A820" s="54">
        <v>1240392</v>
      </c>
      <c r="B820" s="54">
        <v>106939</v>
      </c>
      <c r="C820" s="54" t="s">
        <v>61</v>
      </c>
      <c r="D820" s="51">
        <v>3537.52</v>
      </c>
      <c r="E820" s="52">
        <v>-0.51904241376122351</v>
      </c>
      <c r="F820" s="51">
        <v>3537.52</v>
      </c>
      <c r="G820" s="52">
        <v>-0.51904241376122351</v>
      </c>
      <c r="H820" s="53">
        <v>202</v>
      </c>
      <c r="I820" s="52">
        <v>-0.58521560574948661</v>
      </c>
      <c r="J820" s="53">
        <v>202</v>
      </c>
      <c r="K820" s="52">
        <v>-0.58521560574948661</v>
      </c>
      <c r="L820" s="53">
        <v>155</v>
      </c>
      <c r="M820" s="52">
        <v>-0.46366782006920415</v>
      </c>
      <c r="N820" s="53">
        <v>155</v>
      </c>
      <c r="O820" s="52">
        <v>-0.46366782006920415</v>
      </c>
      <c r="P820" s="51">
        <f t="shared" si="24"/>
        <v>1.3032258064516129</v>
      </c>
      <c r="Q820" s="50">
        <f t="shared" si="25"/>
        <v>22.822709677419354</v>
      </c>
      <c r="R820" s="39" t="s">
        <v>51</v>
      </c>
    </row>
    <row r="821" spans="1:18" x14ac:dyDescent="0.35">
      <c r="A821" s="54">
        <v>1160028</v>
      </c>
      <c r="B821" s="54">
        <v>107024</v>
      </c>
      <c r="C821" s="54" t="s">
        <v>60</v>
      </c>
      <c r="D821" s="51">
        <v>3520.3000000000088</v>
      </c>
      <c r="E821" s="52">
        <v>-0.82794913788847968</v>
      </c>
      <c r="F821" s="51"/>
      <c r="G821" s="52">
        <v>-1</v>
      </c>
      <c r="H821" s="53">
        <v>217</v>
      </c>
      <c r="I821" s="52">
        <v>-0.84309472161966736</v>
      </c>
      <c r="J821" s="53"/>
      <c r="K821" s="52">
        <v>-1</v>
      </c>
      <c r="L821" s="53">
        <v>146</v>
      </c>
      <c r="M821" s="52">
        <v>-0.83613916947250277</v>
      </c>
      <c r="N821" s="53"/>
      <c r="O821" s="52">
        <v>-1</v>
      </c>
      <c r="P821" s="51">
        <f t="shared" si="24"/>
        <v>1.4863013698630136</v>
      </c>
      <c r="Q821" s="50">
        <f t="shared" si="25"/>
        <v>24.111643835616498</v>
      </c>
      <c r="R821" s="39" t="s">
        <v>51</v>
      </c>
    </row>
    <row r="822" spans="1:18" x14ac:dyDescent="0.35">
      <c r="A822" s="54">
        <v>1210088</v>
      </c>
      <c r="B822" s="54">
        <v>107366</v>
      </c>
      <c r="C822" s="54" t="s">
        <v>59</v>
      </c>
      <c r="D822" s="51">
        <v>2752.9700000000003</v>
      </c>
      <c r="E822" s="52">
        <v>-0.61595271409858166</v>
      </c>
      <c r="F822" s="51">
        <v>1288.2499999999995</v>
      </c>
      <c r="G822" s="52">
        <v>-0.82028539502337394</v>
      </c>
      <c r="H822" s="53">
        <v>159</v>
      </c>
      <c r="I822" s="52">
        <v>-0.56557377049180324</v>
      </c>
      <c r="J822" s="53">
        <v>75</v>
      </c>
      <c r="K822" s="52">
        <v>-0.79508196721311475</v>
      </c>
      <c r="L822" s="53">
        <v>125</v>
      </c>
      <c r="M822" s="52">
        <v>-0.55035971223021585</v>
      </c>
      <c r="N822" s="53">
        <v>57</v>
      </c>
      <c r="O822" s="52">
        <v>-0.79496402877697847</v>
      </c>
      <c r="P822" s="51">
        <f t="shared" si="24"/>
        <v>1.272</v>
      </c>
      <c r="Q822" s="50">
        <f t="shared" si="25"/>
        <v>22.023760000000003</v>
      </c>
      <c r="R822" s="39" t="s">
        <v>51</v>
      </c>
    </row>
    <row r="823" spans="1:18" x14ac:dyDescent="0.35">
      <c r="A823" s="54">
        <v>1150005</v>
      </c>
      <c r="B823" s="54">
        <v>106863</v>
      </c>
      <c r="C823" s="54" t="s">
        <v>58</v>
      </c>
      <c r="D823" s="51">
        <v>2319.0199999999986</v>
      </c>
      <c r="E823" s="52">
        <v>-0.42080537080374758</v>
      </c>
      <c r="F823" s="51">
        <v>2319.0199999999986</v>
      </c>
      <c r="G823" s="52">
        <v>-0.42080537080374758</v>
      </c>
      <c r="H823" s="53">
        <v>129</v>
      </c>
      <c r="I823" s="52">
        <v>-0.45338983050847459</v>
      </c>
      <c r="J823" s="53">
        <v>129</v>
      </c>
      <c r="K823" s="52">
        <v>-0.45338983050847459</v>
      </c>
      <c r="L823" s="53">
        <v>95</v>
      </c>
      <c r="M823" s="52">
        <v>-0.44444444444444442</v>
      </c>
      <c r="N823" s="53">
        <v>95</v>
      </c>
      <c r="O823" s="52">
        <v>-0.44444444444444442</v>
      </c>
      <c r="P823" s="51">
        <f t="shared" si="24"/>
        <v>1.3578947368421053</v>
      </c>
      <c r="Q823" s="50">
        <f t="shared" si="25"/>
        <v>24.410736842105248</v>
      </c>
      <c r="R823" s="39" t="s">
        <v>51</v>
      </c>
    </row>
    <row r="824" spans="1:18" x14ac:dyDescent="0.35">
      <c r="A824" s="54">
        <v>1230020</v>
      </c>
      <c r="B824" s="54">
        <v>104615</v>
      </c>
      <c r="C824" s="54" t="s">
        <v>57</v>
      </c>
      <c r="D824" s="51">
        <v>2132.0999999999985</v>
      </c>
      <c r="E824" s="52">
        <v>-0.99028202058492398</v>
      </c>
      <c r="F824" s="51">
        <v>2132.0999999999985</v>
      </c>
      <c r="G824" s="52">
        <v>-0.96415713969906547</v>
      </c>
      <c r="H824" s="53">
        <v>140</v>
      </c>
      <c r="I824" s="52">
        <v>-0.99152696241602611</v>
      </c>
      <c r="J824" s="53">
        <v>140</v>
      </c>
      <c r="K824" s="52">
        <v>-0.9702633814783348</v>
      </c>
      <c r="L824" s="53">
        <v>95</v>
      </c>
      <c r="M824" s="52">
        <v>-0.99180257140391748</v>
      </c>
      <c r="N824" s="53">
        <v>95</v>
      </c>
      <c r="O824" s="52">
        <v>-0.9708946078431373</v>
      </c>
      <c r="P824" s="51">
        <f t="shared" si="24"/>
        <v>1.4736842105263157</v>
      </c>
      <c r="Q824" s="50">
        <f t="shared" si="25"/>
        <v>22.443157894736828</v>
      </c>
      <c r="R824" s="39" t="s">
        <v>51</v>
      </c>
    </row>
    <row r="825" spans="1:18" x14ac:dyDescent="0.35">
      <c r="A825" s="54">
        <v>1240420</v>
      </c>
      <c r="B825" s="54">
        <v>107478</v>
      </c>
      <c r="C825" s="54" t="s">
        <v>56</v>
      </c>
      <c r="D825" s="51">
        <v>489.39999999999992</v>
      </c>
      <c r="E825" s="52"/>
      <c r="F825" s="51"/>
      <c r="G825" s="52"/>
      <c r="H825" s="53">
        <v>31</v>
      </c>
      <c r="I825" s="52" t="s">
        <v>52</v>
      </c>
      <c r="J825" s="53"/>
      <c r="K825" s="52"/>
      <c r="L825" s="53">
        <v>26</v>
      </c>
      <c r="M825" s="52" t="s">
        <v>52</v>
      </c>
      <c r="N825" s="53"/>
      <c r="O825" s="52"/>
      <c r="P825" s="51">
        <f t="shared" si="24"/>
        <v>1.1923076923076923</v>
      </c>
      <c r="Q825" s="50">
        <f t="shared" si="25"/>
        <v>18.823076923076918</v>
      </c>
      <c r="R825" s="39" t="s">
        <v>51</v>
      </c>
    </row>
    <row r="826" spans="1:18" x14ac:dyDescent="0.35">
      <c r="A826" s="54">
        <v>1190022</v>
      </c>
      <c r="B826" s="54">
        <v>105968</v>
      </c>
      <c r="C826" s="54" t="s">
        <v>55</v>
      </c>
      <c r="D826" s="51">
        <v>278.27</v>
      </c>
      <c r="E826" s="52">
        <v>-0.9801489524108461</v>
      </c>
      <c r="F826" s="51">
        <v>278.27</v>
      </c>
      <c r="G826" s="52">
        <v>-0.92049178688473066</v>
      </c>
      <c r="H826" s="53">
        <v>23</v>
      </c>
      <c r="I826" s="52">
        <v>-0.97242206235011985</v>
      </c>
      <c r="J826" s="53">
        <v>23</v>
      </c>
      <c r="K826" s="52">
        <v>-0.89400921658986177</v>
      </c>
      <c r="L826" s="53">
        <v>15</v>
      </c>
      <c r="M826" s="52">
        <v>-0.9759229534510433</v>
      </c>
      <c r="N826" s="53">
        <v>15</v>
      </c>
      <c r="O826" s="52">
        <v>-0.90683229813664601</v>
      </c>
      <c r="P826" s="51">
        <f t="shared" si="24"/>
        <v>1.5333333333333334</v>
      </c>
      <c r="Q826" s="50">
        <f t="shared" si="25"/>
        <v>18.551333333333332</v>
      </c>
      <c r="R826" s="39" t="s">
        <v>54</v>
      </c>
    </row>
    <row r="827" spans="1:18" ht="15" thickBot="1" x14ac:dyDescent="0.4">
      <c r="A827" s="49">
        <v>1240416</v>
      </c>
      <c r="B827" s="49">
        <v>107363</v>
      </c>
      <c r="C827" s="49" t="s">
        <v>53</v>
      </c>
      <c r="D827" s="46">
        <v>29.9</v>
      </c>
      <c r="E827" s="47"/>
      <c r="F827" s="46"/>
      <c r="G827" s="47"/>
      <c r="H827" s="48">
        <v>1</v>
      </c>
      <c r="I827" s="47" t="s">
        <v>52</v>
      </c>
      <c r="J827" s="48"/>
      <c r="K827" s="47"/>
      <c r="L827" s="48">
        <v>1</v>
      </c>
      <c r="M827" s="47" t="s">
        <v>52</v>
      </c>
      <c r="N827" s="48"/>
      <c r="O827" s="47"/>
      <c r="P827" s="46">
        <f t="shared" si="24"/>
        <v>1</v>
      </c>
      <c r="Q827" s="45">
        <f t="shared" si="25"/>
        <v>29.9</v>
      </c>
      <c r="R827" s="39" t="s">
        <v>51</v>
      </c>
    </row>
    <row r="828" spans="1:18" ht="15" thickTop="1" x14ac:dyDescent="0.35">
      <c r="A828" s="44" t="s">
        <v>50</v>
      </c>
      <c r="B828" s="44"/>
      <c r="C828" s="44"/>
      <c r="D828" s="41">
        <v>73215540.979999959</v>
      </c>
      <c r="E828" s="42">
        <v>7.297279238273803E-2</v>
      </c>
      <c r="F828" s="41">
        <v>67635048.870000243</v>
      </c>
      <c r="G828" s="42">
        <v>5.1561688013512824E-2</v>
      </c>
      <c r="H828" s="43">
        <v>4573094.6367000006</v>
      </c>
      <c r="I828" s="42">
        <v>-2.5580473117072483E-2</v>
      </c>
      <c r="J828" s="43">
        <v>4244648.6769000012</v>
      </c>
      <c r="K828" s="42">
        <v>-4.0482054745808155E-2</v>
      </c>
      <c r="L828" s="43">
        <v>3056207</v>
      </c>
      <c r="M828" s="42">
        <v>-1.9800862427015231E-2</v>
      </c>
      <c r="N828" s="43">
        <v>2830272</v>
      </c>
      <c r="O828" s="42">
        <v>-3.5495796119998695E-2</v>
      </c>
      <c r="P828" s="41">
        <f t="shared" si="24"/>
        <v>1.496330136244044</v>
      </c>
      <c r="Q828" s="40">
        <f t="shared" si="25"/>
        <v>23.956342283097957</v>
      </c>
      <c r="R828" s="3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ficha técnica</vt:lpstr>
      <vt:lpstr>insumos</vt:lpstr>
      <vt:lpstr>margem</vt:lpstr>
      <vt:lpstr>lojas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Keiko Kobora Arasaki</dc:creator>
  <cp:lastModifiedBy>Patricia Keiko Kobora Arasaki</cp:lastModifiedBy>
  <dcterms:created xsi:type="dcterms:W3CDTF">2026-04-27T03:10:56Z</dcterms:created>
  <dcterms:modified xsi:type="dcterms:W3CDTF">2026-04-29T10:56:26Z</dcterms:modified>
</cp:coreProperties>
</file>